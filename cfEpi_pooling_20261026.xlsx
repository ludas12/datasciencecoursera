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mple_Sheet" sheetId="1" state="visible" r:id="rId3"/>
    <sheet name="Pooling" sheetId="2" state="visible" r:id="rId4"/>
    <sheet name="Submissio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<sst xmlns="http://schemas.openxmlformats.org/spreadsheetml/2006/main" count="424" uniqueCount="205">
  <si>
    <t xml:space="preserve">cf-EpiTracing sequencing submission — sample sheet (pool 1: 20 Oct 2026, 14 libraries; pool 2: 26 Oct 2026, 10 libraries)</t>
  </si>
  <si>
    <t xml:space="preserve">Paired-end 2 × 50 bp, dual index (8 bp i7 + 8 bp i5). Tn5/Nextera-type adapters. Both index orientations given; facility to choose per instrument workflow. Index data supplied by user. Demultiplex on BOTH i5 and i7 (some i7s are shared between i5 511 and 513).</t>
  </si>
  <si>
    <t xml:space="preserve">Sample_ID</t>
  </si>
  <si>
    <t xml:space="preserve">Original name</t>
  </si>
  <si>
    <t xml:space="preserve">Sample</t>
  </si>
  <si>
    <t xml:space="preserve">Matrix</t>
  </si>
  <si>
    <t xml:space="preserve">Mark</t>
  </si>
  <si>
    <t xml:space="preserve">i5 ID</t>
  </si>
  <si>
    <t xml:space="preserve">i5 index</t>
  </si>
  <si>
    <t xml:space="preserve">i5 index (RC)</t>
  </si>
  <si>
    <t xml:space="preserve">i7 ID</t>
  </si>
  <si>
    <t xml:space="preserve">i7 index</t>
  </si>
  <si>
    <t xml:space="preserve">i7 index (RC)</t>
  </si>
  <si>
    <t xml:space="preserve">Notes</t>
  </si>
  <si>
    <t xml:space="preserve">20261020_cfEpi_1</t>
  </si>
  <si>
    <t xml:space="preserve">cfEpi_1</t>
  </si>
  <si>
    <t xml:space="preserve">HC1_HPL</t>
  </si>
  <si>
    <t xml:space="preserve">Plasma</t>
  </si>
  <si>
    <t xml:space="preserve">H3K27ac</t>
  </si>
  <si>
    <t xml:space="preserve">511</t>
  </si>
  <si>
    <t xml:space="preserve">TAGATCGC</t>
  </si>
  <si>
    <t xml:space="preserve">GCGATCTA</t>
  </si>
  <si>
    <t xml:space="preserve">729</t>
  </si>
  <si>
    <t xml:space="preserve">GCTACGCT</t>
  </si>
  <si>
    <t xml:space="preserve">AGCGTAGC</t>
  </si>
  <si>
    <t xml:space="preserve">Extra SPRI clean-up; low yield; mono/di/tri ladder</t>
  </si>
  <si>
    <t xml:space="preserve">20261020_cfEpi_2</t>
  </si>
  <si>
    <t xml:space="preserve">cfEpi_2</t>
  </si>
  <si>
    <t xml:space="preserve">H3K36me3</t>
  </si>
  <si>
    <t xml:space="preserve">7210</t>
  </si>
  <si>
    <t xml:space="preserve">CGAGGCTG</t>
  </si>
  <si>
    <t xml:space="preserve">CAGCCTCG</t>
  </si>
  <si>
    <t xml:space="preserve">Extra SPRI clean-up</t>
  </si>
  <si>
    <t xml:space="preserve">20261020_cfEpi_3</t>
  </si>
  <si>
    <t xml:space="preserve">cfEpi_3</t>
  </si>
  <si>
    <t xml:space="preserve">IgG</t>
  </si>
  <si>
    <t xml:space="preserve">7211</t>
  </si>
  <si>
    <t xml:space="preserve">AAGAGGCA</t>
  </si>
  <si>
    <t xml:space="preserve">TGCCTCTT</t>
  </si>
  <si>
    <t xml:space="preserve">20261020_cfEpi_4</t>
  </si>
  <si>
    <t xml:space="preserve">cfEpi_4</t>
  </si>
  <si>
    <t xml:space="preserve">HC1_Chen</t>
  </si>
  <si>
    <t xml:space="preserve">7212</t>
  </si>
  <si>
    <t xml:space="preserve">GTAGAGGA</t>
  </si>
  <si>
    <t xml:space="preserve">TCCTCTAC</t>
  </si>
  <si>
    <t xml:space="preserve">20261020_cfEpi_5</t>
  </si>
  <si>
    <t xml:space="preserve">cfEpi_5</t>
  </si>
  <si>
    <t xml:space="preserve">7213</t>
  </si>
  <si>
    <t xml:space="preserve">TGGATCTG</t>
  </si>
  <si>
    <t xml:space="preserve">CAGATCCA</t>
  </si>
  <si>
    <t xml:space="preserve">20261020_cfEpi_6</t>
  </si>
  <si>
    <t xml:space="preserve">cfEpi_6</t>
  </si>
  <si>
    <t xml:space="preserve">7214</t>
  </si>
  <si>
    <t xml:space="preserve">CCGTTTGT</t>
  </si>
  <si>
    <t xml:space="preserve">ACAAACGG</t>
  </si>
  <si>
    <t xml:space="preserve">20261020_cfEpi_7</t>
  </si>
  <si>
    <t xml:space="preserve">cfEpi_7</t>
  </si>
  <si>
    <t xml:space="preserve">H3K4me3</t>
  </si>
  <si>
    <t xml:space="preserve">7225</t>
  </si>
  <si>
    <t xml:space="preserve">ACAAAGTG</t>
  </si>
  <si>
    <t xml:space="preserve">CACTTTGT</t>
  </si>
  <si>
    <t xml:space="preserve">20261020_cfEpi_8</t>
  </si>
  <si>
    <t xml:space="preserve">cfEpi_8</t>
  </si>
  <si>
    <t xml:space="preserve">7226</t>
  </si>
  <si>
    <t xml:space="preserve">TACTTGAA</t>
  </si>
  <si>
    <t xml:space="preserve">TTCAAGTA</t>
  </si>
  <si>
    <t xml:space="preserve">20261020_cfEpi_9</t>
  </si>
  <si>
    <t xml:space="preserve">cfEpi_9</t>
  </si>
  <si>
    <t xml:space="preserve">7227</t>
  </si>
  <si>
    <t xml:space="preserve">GTGATAGC</t>
  </si>
  <si>
    <t xml:space="preserve">GCTATCAC</t>
  </si>
  <si>
    <t xml:space="preserve">20261020_cfEpi_10</t>
  </si>
  <si>
    <t xml:space="preserve">cfEpi_10</t>
  </si>
  <si>
    <t xml:space="preserve">721</t>
  </si>
  <si>
    <t xml:space="preserve">TAAGGCGA</t>
  </si>
  <si>
    <t xml:space="preserve">TCGCCTTA</t>
  </si>
  <si>
    <t xml:space="preserve">20261020_cfEpi_11</t>
  </si>
  <si>
    <t xml:space="preserve">cfEpi_11</t>
  </si>
  <si>
    <t xml:space="preserve">722</t>
  </si>
  <si>
    <t xml:space="preserve">CGTACTAG</t>
  </si>
  <si>
    <t xml:space="preserve">CTAGTACG</t>
  </si>
  <si>
    <t xml:space="preserve">20261020_cfEpi_12</t>
  </si>
  <si>
    <t xml:space="preserve">cfEpi_12</t>
  </si>
  <si>
    <t xml:space="preserve">723</t>
  </si>
  <si>
    <t xml:space="preserve">AGGCAGAA</t>
  </si>
  <si>
    <t xml:space="preserve">TTCTGCCT</t>
  </si>
  <si>
    <t xml:space="preserve">20261020_cfEpi_13</t>
  </si>
  <si>
    <t xml:space="preserve">cfEpi_13</t>
  </si>
  <si>
    <t xml:space="preserve">H3K9ac</t>
  </si>
  <si>
    <t xml:space="preserve">724</t>
  </si>
  <si>
    <t xml:space="preserve">TCCTGAGC</t>
  </si>
  <si>
    <t xml:space="preserve">GCTCAGGA</t>
  </si>
  <si>
    <t xml:space="preserve">20261020_cfEpi_14</t>
  </si>
  <si>
    <t xml:space="preserve">cfEpi_14</t>
  </si>
  <si>
    <t xml:space="preserve">725</t>
  </si>
  <si>
    <t xml:space="preserve">GGACTCCT</t>
  </si>
  <si>
    <t xml:space="preserve">AGGAGTCC</t>
  </si>
  <si>
    <t xml:space="preserve">20261026_cfEpi15</t>
  </si>
  <si>
    <t xml:space="preserve">cfEpi15</t>
  </si>
  <si>
    <t xml:space="preserve">HC8</t>
  </si>
  <si>
    <t xml:space="preserve">513</t>
  </si>
  <si>
    <t xml:space="preserve">TATCCTCT</t>
  </si>
  <si>
    <t xml:space="preserve">AGAGGATA</t>
  </si>
  <si>
    <t xml:space="preserve">7217</t>
  </si>
  <si>
    <t xml:space="preserve">GTGTGGTG</t>
  </si>
  <si>
    <t xml:space="preserve">CACCACAC</t>
  </si>
  <si>
    <t xml:space="preserve">20261026_cfEpi16</t>
  </si>
  <si>
    <t xml:space="preserve">cfEpi16</t>
  </si>
  <si>
    <t xml:space="preserve">7218</t>
  </si>
  <si>
    <t xml:space="preserve">TGGGTTTC</t>
  </si>
  <si>
    <t xml:space="preserve">GAAACCCA</t>
  </si>
  <si>
    <t xml:space="preserve">20261026_cfEpi17</t>
  </si>
  <si>
    <t xml:space="preserve">cfEpi17</t>
  </si>
  <si>
    <t xml:space="preserve">7219</t>
  </si>
  <si>
    <t xml:space="preserve">TGGTCACA</t>
  </si>
  <si>
    <t xml:space="preserve">TGTGACCA</t>
  </si>
  <si>
    <t xml:space="preserve">20261026_cfEpi18</t>
  </si>
  <si>
    <t xml:space="preserve">cfEpi18</t>
  </si>
  <si>
    <t xml:space="preserve">7220</t>
  </si>
  <si>
    <t xml:space="preserve">TTGACCCT</t>
  </si>
  <si>
    <t xml:space="preserve">AGGGTCAA</t>
  </si>
  <si>
    <t xml:space="preserve">20261026_cfEpi19</t>
  </si>
  <si>
    <t xml:space="preserve">cfEpi19</t>
  </si>
  <si>
    <t xml:space="preserve">7221</t>
  </si>
  <si>
    <t xml:space="preserve">CGCGGACA</t>
  </si>
  <si>
    <t xml:space="preserve">TGTCCGCG</t>
  </si>
  <si>
    <t xml:space="preserve">20261026_cfEpi20</t>
  </si>
  <si>
    <t xml:space="preserve">cfEpi20</t>
  </si>
  <si>
    <t xml:space="preserve">HC9</t>
  </si>
  <si>
    <t xml:space="preserve">7222</t>
  </si>
  <si>
    <t xml:space="preserve">TTCCATAT</t>
  </si>
  <si>
    <t xml:space="preserve">ATATGGTT</t>
  </si>
  <si>
    <t xml:space="preserve">20261026_cfEpi21</t>
  </si>
  <si>
    <t xml:space="preserve">cfEpi21</t>
  </si>
  <si>
    <t xml:space="preserve">7223</t>
  </si>
  <si>
    <t xml:space="preserve">AATTCGTT</t>
  </si>
  <si>
    <t xml:space="preserve">AACGAATT</t>
  </si>
  <si>
    <t xml:space="preserve">20261026_cfEpi22</t>
  </si>
  <si>
    <t xml:space="preserve">cfEpi22</t>
  </si>
  <si>
    <t xml:space="preserve">7224</t>
  </si>
  <si>
    <t xml:space="preserve">GGCGTCGA</t>
  </si>
  <si>
    <t xml:space="preserve">TCGACGCC</t>
  </si>
  <si>
    <t xml:space="preserve">20261026_cfEpi23</t>
  </si>
  <si>
    <t xml:space="preserve">cfEpi23</t>
  </si>
  <si>
    <t xml:space="preserve">2225 (as supplied; same sequence as 7225)</t>
  </si>
  <si>
    <t xml:space="preserve">Same i7 as cfEpi_7 but different i5 (513 vs 511): unique pair, needs dual-index demultiplexing</t>
  </si>
  <si>
    <t xml:space="preserve">20261026_cfEpi24</t>
  </si>
  <si>
    <t xml:space="preserve">cfEpi24</t>
  </si>
  <si>
    <t xml:space="preserve">2226 (as supplied; same sequence as 7226)</t>
  </si>
  <si>
    <t xml:space="preserve">Same i7 as cfEpi_8 but different i5 (513 vs 511): unique pair, needs dual-index demultiplexing</t>
  </si>
  <si>
    <t xml:space="preserve">Pooling calculator — dilute each library to the target, then combine</t>
  </si>
  <si>
    <t xml:space="preserve">Edit only the yellow/blue cells. Blue = inputs (molarity from TapeStation D5000, region 170–1,000 bp; pool 1 measured 19 Oct 2026, pool 2 values supplied by user). Black = formulas.</t>
  </si>
  <si>
    <t xml:space="preserve">Assumptions</t>
  </si>
  <si>
    <t xml:space="preserve">Target concentration (nM)</t>
  </si>
  <si>
    <t xml:space="preserve">Dilution target for every library</t>
  </si>
  <si>
    <t xml:space="preserve">Library volume per dilution (µl)</t>
  </si>
  <si>
    <t xml:space="preserve">Volume of each library used to make its dilution</t>
  </si>
  <si>
    <t xml:space="preserve">Default pool volume per library (µl)</t>
  </si>
  <si>
    <t xml:space="preserve">Equal share; change per row in column H to weight</t>
  </si>
  <si>
    <t xml:space="preserve">Total read pairs ordered</t>
  </si>
  <si>
    <t xml:space="preserve">Approximate output requested from the facility (~10 M pairs per library × 24, rounded up)</t>
  </si>
  <si>
    <t xml:space="preserve">Library</t>
  </si>
  <si>
    <t xml:space="preserve">Molarity (nM, 170–1000 bp)</t>
  </si>
  <si>
    <t xml:space="preserve">Library vol (µl)</t>
  </si>
  <si>
    <t xml:space="preserve">Diluent vol (µl)
10 mM Tris pH 8 + 0.1% Tween-20</t>
  </si>
  <si>
    <t xml:space="preserve">Diluted conc (nM)</t>
  </si>
  <si>
    <t xml:space="preserve">Vol into its pool (µl)</t>
  </si>
  <si>
    <t xml:space="preserve">Share of final pool</t>
  </si>
  <si>
    <t xml:space="preserve">Expected read pairs</t>
  </si>
  <si>
    <t xml:space="preserve">Note</t>
  </si>
  <si>
    <t xml:space="preserve">Pool</t>
  </si>
  <si>
    <t xml:space="preserve">Molarity barely above target: 4 µl library used so ≥ 5 µl of 4 nM dilution is available</t>
  </si>
  <si>
    <t xml:space="preserve">Weighted ×1.5 (broad mark)</t>
  </si>
  <si>
    <t xml:space="preserve">Weighted ×1.5 (broad mark); 1 µl library (high molarity) to keep diluent volume practical</t>
  </si>
  <si>
    <t xml:space="preserve">1 µl library (high molarity) to keep diluent volume practical</t>
  </si>
  <si>
    <t xml:space="preserve">Total</t>
  </si>
  <si>
    <t xml:space="preserve">Pool concentration (nM)</t>
  </si>
  <si>
    <t xml:space="preserve">Pool 1 volume (µl, already made)</t>
  </si>
  <si>
    <t xml:space="preserve">Pool 2 volume (µl, new libraries)</t>
  </si>
  <si>
    <t xml:space="preserve">Combine pool 1 : pool 2 in this volume ratio</t>
  </si>
  <si>
    <t xml:space="preserve">• Diluent volume = library volume × (molarity ÷ target − 1). If molarity ≤ target, the library is used undiluted (diluent 0) and its pool share falls.</t>
  </si>
  <si>
    <t xml:space="preserve">• H3K36me3 libraries are weighted to 7.5 µl (broad mark needs more reads); set column H to the default for equal reads.</t>
  </si>
  <si>
    <t xml:space="preserve">• Share of pool and expected reads assume equal clustering per molecule; confirm the final pool by qPCR before submission.</t>
  </si>
  <si>
    <t xml:space="preserve">• Molarities are D5000 region values (170–1,000 bp), which exclude the adapter-dimer shoulder. Pool 2 molarities must be measured the same way, or pool 1 and pool 2 libraries will be unbalanced.</t>
  </si>
  <si>
    <t xml:space="preserve">• Mix ALL of pool 1 with ALL of pool 2 (or keep the volume ratio shown above if part of a pool has been used). Expected reads in column J assume that combination.</t>
  </si>
  <si>
    <t xml:space="preserve">Item</t>
  </si>
  <si>
    <t xml:space="preserve">Value</t>
  </si>
  <si>
    <t xml:space="preserve">Pool name</t>
  </si>
  <si>
    <t xml:space="preserve">cfEpi_20261026 (pool 1 + pool 2 combined)</t>
  </si>
  <si>
    <t xml:space="preserve">Libraries</t>
  </si>
  <si>
    <t xml:space="preserve">24 (see Sample_Sheet)</t>
  </si>
  <si>
    <t xml:space="preserve">Read configuration</t>
  </si>
  <si>
    <t xml:space="preserve">Paired-end 2 × 50 bp</t>
  </si>
  <si>
    <t xml:space="preserve">Index reads</t>
  </si>
  <si>
    <t xml:space="preserve">Dual, 8 bp i7 + 8 bp i5. i5 511 (cfEpi_1–14) and i5 513 (cfEpi15–24). cfEpi23/24 share i7 with cfEpi_7/8, so demultiplex on both indexes</t>
  </si>
  <si>
    <t xml:space="preserve">Adapter type</t>
  </si>
  <si>
    <t xml:space="preserve">Tn5/Nextera-type</t>
  </si>
  <si>
    <t xml:space="preserve">Requested output</t>
  </si>
  <si>
    <t xml:space="preserve">Pool volume (µl)</t>
  </si>
  <si>
    <t xml:space="preserve">Output format</t>
  </si>
  <si>
    <t xml:space="preserve">Demultiplexed FASTQ per sample</t>
  </si>
  <si>
    <t xml:space="preserve">Lane sharing</t>
  </si>
  <si>
    <t xml:space="preserve">If pooled with other users, check no other library uses i5 511 with these i7 indexes</t>
  </si>
  <si>
    <t xml:space="preserve">QC before submission</t>
  </si>
  <si>
    <t xml:space="preserve">qPCR of final pool (preferred) or TapeStation D5000 + Qubit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</si>
</sst>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"/>
    <numFmt numFmtId="167" formatCode="0.00"/>
    <numFmt numFmtId="168" formatCode="0.0%"/>
    <numFmt numFmtId="169" formatCode="0.00&quot; : 1&quot;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name val="Courier New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3"/>
    <col collapsed="false" customWidth="true" hidden="false" outlineLevel="0" max="3" min="3" style="0" width="12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7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9" min="9" style="0" width="7"/>
    <col collapsed="false" customWidth="true" hidden="false" outlineLevel="0" max="10" min="10" style="0" width="12"/>
    <col collapsed="false" customWidth="true" hidden="false" outlineLevel="0" max="11" min="11" style="0" width="13"/>
    <col collapsed="false" customWidth="true" hidden="false" outlineLevel="0" max="12" min="12" style="0" width="44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customFormat="false" ht="15" hidden="false" customHeight="false" outlineLevel="0" collapsed="false">
      <c r="A5" s="4" t="s">
        <v>14</v>
      </c>
      <c r="B5" s="4" t="s">
        <v>15</v>
      </c>
      <c r="C5" s="4" t="s">
        <v>16</v>
      </c>
      <c r="D5" s="4" t="s">
        <v>17</v>
      </c>
      <c r="E5" s="4" t="s">
        <v>18</v>
      </c>
      <c r="F5" s="4" t="s">
        <v>19</v>
      </c>
      <c r="G5" s="5" t="s">
        <v>20</v>
      </c>
      <c r="H5" s="5" t="s">
        <v>21</v>
      </c>
      <c r="I5" s="4" t="s">
        <v>22</v>
      </c>
      <c r="J5" s="5" t="s">
        <v>23</v>
      </c>
      <c r="K5" s="5" t="s">
        <v>24</v>
      </c>
      <c r="L5" s="4" t="s">
        <v>25</v>
      </c>
    </row>
    <row r="6" customFormat="false" ht="15" hidden="false" customHeight="false" outlineLevel="0" collapsed="false">
      <c r="A6" s="4" t="s">
        <v>26</v>
      </c>
      <c r="B6" s="4" t="s">
        <v>27</v>
      </c>
      <c r="C6" s="4" t="s">
        <v>16</v>
      </c>
      <c r="D6" s="4" t="s">
        <v>17</v>
      </c>
      <c r="E6" s="4" t="s">
        <v>28</v>
      </c>
      <c r="F6" s="4" t="s">
        <v>19</v>
      </c>
      <c r="G6" s="5" t="s">
        <v>20</v>
      </c>
      <c r="H6" s="5" t="s">
        <v>21</v>
      </c>
      <c r="I6" s="4" t="s">
        <v>29</v>
      </c>
      <c r="J6" s="5" t="s">
        <v>30</v>
      </c>
      <c r="K6" s="5" t="s">
        <v>31</v>
      </c>
      <c r="L6" s="4" t="s">
        <v>32</v>
      </c>
    </row>
    <row r="7" customFormat="false" ht="15" hidden="false" customHeight="false" outlineLevel="0" collapsed="false">
      <c r="A7" s="4" t="s">
        <v>33</v>
      </c>
      <c r="B7" s="4" t="s">
        <v>34</v>
      </c>
      <c r="C7" s="4" t="s">
        <v>16</v>
      </c>
      <c r="D7" s="4" t="s">
        <v>17</v>
      </c>
      <c r="E7" s="4" t="s">
        <v>35</v>
      </c>
      <c r="F7" s="4" t="s">
        <v>19</v>
      </c>
      <c r="G7" s="5" t="s">
        <v>20</v>
      </c>
      <c r="H7" s="5" t="s">
        <v>21</v>
      </c>
      <c r="I7" s="4" t="s">
        <v>36</v>
      </c>
      <c r="J7" s="5" t="s">
        <v>37</v>
      </c>
      <c r="K7" s="5" t="s">
        <v>38</v>
      </c>
      <c r="L7" s="4" t="s">
        <v>32</v>
      </c>
    </row>
    <row r="8" customFormat="false" ht="15" hidden="false" customHeight="false" outlineLevel="0" collapsed="false">
      <c r="A8" s="4" t="s">
        <v>39</v>
      </c>
      <c r="B8" s="4" t="s">
        <v>40</v>
      </c>
      <c r="C8" s="4" t="s">
        <v>41</v>
      </c>
      <c r="D8" s="4" t="s">
        <v>17</v>
      </c>
      <c r="E8" s="4" t="s">
        <v>18</v>
      </c>
      <c r="F8" s="4" t="s">
        <v>19</v>
      </c>
      <c r="G8" s="5" t="s">
        <v>20</v>
      </c>
      <c r="H8" s="5" t="s">
        <v>21</v>
      </c>
      <c r="I8" s="4" t="s">
        <v>42</v>
      </c>
      <c r="J8" s="5" t="s">
        <v>43</v>
      </c>
      <c r="K8" s="5" t="s">
        <v>44</v>
      </c>
      <c r="L8" s="4" t="s">
        <v>32</v>
      </c>
    </row>
    <row r="9" customFormat="false" ht="15" hidden="false" customHeight="false" outlineLevel="0" collapsed="false">
      <c r="A9" s="4" t="s">
        <v>45</v>
      </c>
      <c r="B9" s="4" t="s">
        <v>46</v>
      </c>
      <c r="C9" s="4" t="s">
        <v>41</v>
      </c>
      <c r="D9" s="4" t="s">
        <v>17</v>
      </c>
      <c r="E9" s="4" t="s">
        <v>28</v>
      </c>
      <c r="F9" s="4" t="s">
        <v>19</v>
      </c>
      <c r="G9" s="5" t="s">
        <v>20</v>
      </c>
      <c r="H9" s="5" t="s">
        <v>21</v>
      </c>
      <c r="I9" s="4" t="s">
        <v>47</v>
      </c>
      <c r="J9" s="5" t="s">
        <v>48</v>
      </c>
      <c r="K9" s="5" t="s">
        <v>49</v>
      </c>
      <c r="L9" s="4" t="s">
        <v>32</v>
      </c>
    </row>
    <row r="10" customFormat="false" ht="15" hidden="false" customHeight="false" outlineLevel="0" collapsed="false">
      <c r="A10" s="4" t="s">
        <v>50</v>
      </c>
      <c r="B10" s="4" t="s">
        <v>51</v>
      </c>
      <c r="C10" s="4" t="s">
        <v>41</v>
      </c>
      <c r="D10" s="4" t="s">
        <v>17</v>
      </c>
      <c r="E10" s="4" t="s">
        <v>35</v>
      </c>
      <c r="F10" s="4" t="s">
        <v>19</v>
      </c>
      <c r="G10" s="5" t="s">
        <v>20</v>
      </c>
      <c r="H10" s="5" t="s">
        <v>21</v>
      </c>
      <c r="I10" s="4" t="s">
        <v>52</v>
      </c>
      <c r="J10" s="5" t="s">
        <v>53</v>
      </c>
      <c r="K10" s="5" t="s">
        <v>54</v>
      </c>
      <c r="L10" s="4" t="s">
        <v>32</v>
      </c>
    </row>
    <row r="11" customFormat="false" ht="15" hidden="false" customHeight="false" outlineLevel="0" collapsed="false">
      <c r="A11" s="4" t="s">
        <v>55</v>
      </c>
      <c r="B11" s="4" t="s">
        <v>56</v>
      </c>
      <c r="C11" s="4" t="s">
        <v>16</v>
      </c>
      <c r="D11" s="4" t="s">
        <v>17</v>
      </c>
      <c r="E11" s="4" t="s">
        <v>57</v>
      </c>
      <c r="F11" s="4" t="s">
        <v>19</v>
      </c>
      <c r="G11" s="5" t="s">
        <v>20</v>
      </c>
      <c r="H11" s="5" t="s">
        <v>21</v>
      </c>
      <c r="I11" s="4" t="s">
        <v>58</v>
      </c>
      <c r="J11" s="5" t="s">
        <v>59</v>
      </c>
      <c r="K11" s="5" t="s">
        <v>60</v>
      </c>
      <c r="L11" s="4"/>
    </row>
    <row r="12" customFormat="false" ht="15" hidden="false" customHeight="false" outlineLevel="0" collapsed="false">
      <c r="A12" s="4" t="s">
        <v>61</v>
      </c>
      <c r="B12" s="4" t="s">
        <v>62</v>
      </c>
      <c r="C12" s="4" t="s">
        <v>16</v>
      </c>
      <c r="D12" s="4" t="s">
        <v>17</v>
      </c>
      <c r="E12" s="4" t="s">
        <v>18</v>
      </c>
      <c r="F12" s="4" t="s">
        <v>19</v>
      </c>
      <c r="G12" s="5" t="s">
        <v>20</v>
      </c>
      <c r="H12" s="5" t="s">
        <v>21</v>
      </c>
      <c r="I12" s="4" t="s">
        <v>63</v>
      </c>
      <c r="J12" s="5" t="s">
        <v>64</v>
      </c>
      <c r="K12" s="5" t="s">
        <v>65</v>
      </c>
      <c r="L12" s="4"/>
    </row>
    <row r="13" customFormat="false" ht="15" hidden="false" customHeight="false" outlineLevel="0" collapsed="false">
      <c r="A13" s="4" t="s">
        <v>66</v>
      </c>
      <c r="B13" s="4" t="s">
        <v>67</v>
      </c>
      <c r="C13" s="4" t="s">
        <v>16</v>
      </c>
      <c r="D13" s="4" t="s">
        <v>17</v>
      </c>
      <c r="E13" s="4" t="s">
        <v>28</v>
      </c>
      <c r="F13" s="4" t="s">
        <v>19</v>
      </c>
      <c r="G13" s="5" t="s">
        <v>20</v>
      </c>
      <c r="H13" s="5" t="s">
        <v>21</v>
      </c>
      <c r="I13" s="4" t="s">
        <v>68</v>
      </c>
      <c r="J13" s="5" t="s">
        <v>69</v>
      </c>
      <c r="K13" s="5" t="s">
        <v>70</v>
      </c>
      <c r="L13" s="4"/>
    </row>
    <row r="14" customFormat="false" ht="15" hidden="false" customHeight="false" outlineLevel="0" collapsed="false">
      <c r="A14" s="4" t="s">
        <v>71</v>
      </c>
      <c r="B14" s="4" t="s">
        <v>72</v>
      </c>
      <c r="C14" s="4" t="s">
        <v>16</v>
      </c>
      <c r="D14" s="4" t="s">
        <v>17</v>
      </c>
      <c r="E14" s="4" t="s">
        <v>57</v>
      </c>
      <c r="F14" s="4" t="s">
        <v>19</v>
      </c>
      <c r="G14" s="5" t="s">
        <v>20</v>
      </c>
      <c r="H14" s="5" t="s">
        <v>21</v>
      </c>
      <c r="I14" s="4" t="s">
        <v>73</v>
      </c>
      <c r="J14" s="5" t="s">
        <v>74</v>
      </c>
      <c r="K14" s="5" t="s">
        <v>75</v>
      </c>
      <c r="L14" s="4"/>
    </row>
    <row r="15" customFormat="false" ht="15" hidden="false" customHeight="false" outlineLevel="0" collapsed="false">
      <c r="A15" s="4" t="s">
        <v>76</v>
      </c>
      <c r="B15" s="4" t="s">
        <v>77</v>
      </c>
      <c r="C15" s="4" t="s">
        <v>16</v>
      </c>
      <c r="D15" s="4" t="s">
        <v>17</v>
      </c>
      <c r="E15" s="4" t="s">
        <v>18</v>
      </c>
      <c r="F15" s="4" t="s">
        <v>19</v>
      </c>
      <c r="G15" s="5" t="s">
        <v>20</v>
      </c>
      <c r="H15" s="5" t="s">
        <v>21</v>
      </c>
      <c r="I15" s="4" t="s">
        <v>78</v>
      </c>
      <c r="J15" s="5" t="s">
        <v>79</v>
      </c>
      <c r="K15" s="5" t="s">
        <v>80</v>
      </c>
      <c r="L15" s="4"/>
    </row>
    <row r="16" customFormat="false" ht="15" hidden="false" customHeight="false" outlineLevel="0" collapsed="false">
      <c r="A16" s="4" t="s">
        <v>81</v>
      </c>
      <c r="B16" s="4" t="s">
        <v>82</v>
      </c>
      <c r="C16" s="4" t="s">
        <v>16</v>
      </c>
      <c r="D16" s="4" t="s">
        <v>17</v>
      </c>
      <c r="E16" s="4" t="s">
        <v>28</v>
      </c>
      <c r="F16" s="4" t="s">
        <v>19</v>
      </c>
      <c r="G16" s="5" t="s">
        <v>20</v>
      </c>
      <c r="H16" s="5" t="s">
        <v>21</v>
      </c>
      <c r="I16" s="4" t="s">
        <v>83</v>
      </c>
      <c r="J16" s="5" t="s">
        <v>84</v>
      </c>
      <c r="K16" s="5" t="s">
        <v>85</v>
      </c>
      <c r="L16" s="4"/>
    </row>
    <row r="17" customFormat="false" ht="15" hidden="false" customHeight="false" outlineLevel="0" collapsed="false">
      <c r="A17" s="4" t="s">
        <v>86</v>
      </c>
      <c r="B17" s="4" t="s">
        <v>87</v>
      </c>
      <c r="C17" s="4" t="s">
        <v>16</v>
      </c>
      <c r="D17" s="4" t="s">
        <v>17</v>
      </c>
      <c r="E17" s="4" t="s">
        <v>88</v>
      </c>
      <c r="F17" s="4" t="s">
        <v>19</v>
      </c>
      <c r="G17" s="5" t="s">
        <v>20</v>
      </c>
      <c r="H17" s="5" t="s">
        <v>21</v>
      </c>
      <c r="I17" s="4" t="s">
        <v>89</v>
      </c>
      <c r="J17" s="5" t="s">
        <v>90</v>
      </c>
      <c r="K17" s="5" t="s">
        <v>91</v>
      </c>
      <c r="L17" s="4"/>
    </row>
    <row r="18" customFormat="false" ht="15" hidden="false" customHeight="false" outlineLevel="0" collapsed="false">
      <c r="A18" s="4" t="s">
        <v>92</v>
      </c>
      <c r="B18" s="4" t="s">
        <v>93</v>
      </c>
      <c r="C18" s="4" t="s">
        <v>16</v>
      </c>
      <c r="D18" s="4" t="s">
        <v>17</v>
      </c>
      <c r="E18" s="4" t="s">
        <v>35</v>
      </c>
      <c r="F18" s="4" t="s">
        <v>19</v>
      </c>
      <c r="G18" s="5" t="s">
        <v>20</v>
      </c>
      <c r="H18" s="5" t="s">
        <v>21</v>
      </c>
      <c r="I18" s="4" t="s">
        <v>94</v>
      </c>
      <c r="J18" s="5" t="s">
        <v>95</v>
      </c>
      <c r="K18" s="5" t="s">
        <v>96</v>
      </c>
      <c r="L18" s="4"/>
    </row>
    <row r="19" customFormat="false" ht="15" hidden="false" customHeight="false" outlineLevel="0" collapsed="false">
      <c r="A19" s="4" t="s">
        <v>97</v>
      </c>
      <c r="B19" s="4" t="s">
        <v>98</v>
      </c>
      <c r="C19" s="4" t="s">
        <v>99</v>
      </c>
      <c r="D19" s="4" t="s">
        <v>17</v>
      </c>
      <c r="E19" s="4" t="s">
        <v>57</v>
      </c>
      <c r="F19" s="4" t="s">
        <v>100</v>
      </c>
      <c r="G19" s="5" t="s">
        <v>101</v>
      </c>
      <c r="H19" s="5" t="s">
        <v>102</v>
      </c>
      <c r="I19" s="4" t="s">
        <v>103</v>
      </c>
      <c r="J19" s="5" t="s">
        <v>104</v>
      </c>
      <c r="K19" s="5" t="s">
        <v>105</v>
      </c>
      <c r="L19" s="4"/>
    </row>
    <row r="20" customFormat="false" ht="15" hidden="false" customHeight="false" outlineLevel="0" collapsed="false">
      <c r="A20" s="4" t="s">
        <v>106</v>
      </c>
      <c r="B20" s="4" t="s">
        <v>107</v>
      </c>
      <c r="C20" s="4" t="s">
        <v>99</v>
      </c>
      <c r="D20" s="4" t="s">
        <v>17</v>
      </c>
      <c r="E20" s="4" t="s">
        <v>18</v>
      </c>
      <c r="F20" s="4" t="s">
        <v>100</v>
      </c>
      <c r="G20" s="5" t="s">
        <v>101</v>
      </c>
      <c r="H20" s="5" t="s">
        <v>102</v>
      </c>
      <c r="I20" s="4" t="s">
        <v>108</v>
      </c>
      <c r="J20" s="5" t="s">
        <v>109</v>
      </c>
      <c r="K20" s="5" t="s">
        <v>110</v>
      </c>
      <c r="L20" s="4"/>
    </row>
    <row r="21" customFormat="false" ht="15" hidden="false" customHeight="false" outlineLevel="0" collapsed="false">
      <c r="A21" s="4" t="s">
        <v>111</v>
      </c>
      <c r="B21" s="4" t="s">
        <v>112</v>
      </c>
      <c r="C21" s="4" t="s">
        <v>99</v>
      </c>
      <c r="D21" s="4" t="s">
        <v>17</v>
      </c>
      <c r="E21" s="4" t="s">
        <v>28</v>
      </c>
      <c r="F21" s="4" t="s">
        <v>100</v>
      </c>
      <c r="G21" s="5" t="s">
        <v>101</v>
      </c>
      <c r="H21" s="5" t="s">
        <v>102</v>
      </c>
      <c r="I21" s="4" t="s">
        <v>113</v>
      </c>
      <c r="J21" s="5" t="s">
        <v>114</v>
      </c>
      <c r="K21" s="5" t="s">
        <v>115</v>
      </c>
      <c r="L21" s="4"/>
    </row>
    <row r="22" customFormat="false" ht="15" hidden="false" customHeight="false" outlineLevel="0" collapsed="false">
      <c r="A22" s="4" t="s">
        <v>116</v>
      </c>
      <c r="B22" s="4" t="s">
        <v>117</v>
      </c>
      <c r="C22" s="4" t="s">
        <v>99</v>
      </c>
      <c r="D22" s="4" t="s">
        <v>17</v>
      </c>
      <c r="E22" s="4" t="s">
        <v>88</v>
      </c>
      <c r="F22" s="4" t="s">
        <v>100</v>
      </c>
      <c r="G22" s="5" t="s">
        <v>101</v>
      </c>
      <c r="H22" s="5" t="s">
        <v>102</v>
      </c>
      <c r="I22" s="4" t="s">
        <v>118</v>
      </c>
      <c r="J22" s="5" t="s">
        <v>119</v>
      </c>
      <c r="K22" s="5" t="s">
        <v>120</v>
      </c>
      <c r="L22" s="4"/>
    </row>
    <row r="23" customFormat="false" ht="15" hidden="false" customHeight="false" outlineLevel="0" collapsed="false">
      <c r="A23" s="4" t="s">
        <v>121</v>
      </c>
      <c r="B23" s="4" t="s">
        <v>122</v>
      </c>
      <c r="C23" s="4" t="s">
        <v>99</v>
      </c>
      <c r="D23" s="4" t="s">
        <v>17</v>
      </c>
      <c r="E23" s="4" t="s">
        <v>35</v>
      </c>
      <c r="F23" s="4" t="s">
        <v>100</v>
      </c>
      <c r="G23" s="5" t="s">
        <v>101</v>
      </c>
      <c r="H23" s="5" t="s">
        <v>102</v>
      </c>
      <c r="I23" s="4" t="s">
        <v>123</v>
      </c>
      <c r="J23" s="5" t="s">
        <v>124</v>
      </c>
      <c r="K23" s="5" t="s">
        <v>125</v>
      </c>
      <c r="L23" s="4"/>
    </row>
    <row r="24" customFormat="false" ht="15" hidden="false" customHeight="false" outlineLevel="0" collapsed="false">
      <c r="A24" s="4" t="s">
        <v>126</v>
      </c>
      <c r="B24" s="4" t="s">
        <v>127</v>
      </c>
      <c r="C24" s="4" t="s">
        <v>128</v>
      </c>
      <c r="D24" s="4" t="s">
        <v>17</v>
      </c>
      <c r="E24" s="4" t="s">
        <v>57</v>
      </c>
      <c r="F24" s="4" t="s">
        <v>100</v>
      </c>
      <c r="G24" s="5" t="s">
        <v>101</v>
      </c>
      <c r="H24" s="5" t="s">
        <v>102</v>
      </c>
      <c r="I24" s="4" t="s">
        <v>129</v>
      </c>
      <c r="J24" s="5" t="s">
        <v>130</v>
      </c>
      <c r="K24" s="5" t="s">
        <v>131</v>
      </c>
      <c r="L24" s="4"/>
    </row>
    <row r="25" customFormat="false" ht="15" hidden="false" customHeight="false" outlineLevel="0" collapsed="false">
      <c r="A25" s="4" t="s">
        <v>132</v>
      </c>
      <c r="B25" s="4" t="s">
        <v>133</v>
      </c>
      <c r="C25" s="4" t="s">
        <v>128</v>
      </c>
      <c r="D25" s="4" t="s">
        <v>17</v>
      </c>
      <c r="E25" s="4" t="s">
        <v>18</v>
      </c>
      <c r="F25" s="4" t="s">
        <v>100</v>
      </c>
      <c r="G25" s="5" t="s">
        <v>101</v>
      </c>
      <c r="H25" s="5" t="s">
        <v>102</v>
      </c>
      <c r="I25" s="4" t="s">
        <v>134</v>
      </c>
      <c r="J25" s="5" t="s">
        <v>135</v>
      </c>
      <c r="K25" s="5" t="s">
        <v>136</v>
      </c>
      <c r="L25" s="4"/>
    </row>
    <row r="26" customFormat="false" ht="15" hidden="false" customHeight="false" outlineLevel="0" collapsed="false">
      <c r="A26" s="4" t="s">
        <v>137</v>
      </c>
      <c r="B26" s="4" t="s">
        <v>138</v>
      </c>
      <c r="C26" s="4" t="s">
        <v>128</v>
      </c>
      <c r="D26" s="4" t="s">
        <v>17</v>
      </c>
      <c r="E26" s="4" t="s">
        <v>28</v>
      </c>
      <c r="F26" s="4" t="s">
        <v>100</v>
      </c>
      <c r="G26" s="5" t="s">
        <v>101</v>
      </c>
      <c r="H26" s="5" t="s">
        <v>102</v>
      </c>
      <c r="I26" s="4" t="s">
        <v>139</v>
      </c>
      <c r="J26" s="5" t="s">
        <v>140</v>
      </c>
      <c r="K26" s="5" t="s">
        <v>141</v>
      </c>
      <c r="L26" s="4"/>
    </row>
    <row r="27" customFormat="false" ht="15" hidden="false" customHeight="false" outlineLevel="0" collapsed="false">
      <c r="A27" s="4" t="s">
        <v>142</v>
      </c>
      <c r="B27" s="4" t="s">
        <v>143</v>
      </c>
      <c r="C27" s="4" t="s">
        <v>128</v>
      </c>
      <c r="D27" s="4" t="s">
        <v>17</v>
      </c>
      <c r="E27" s="4" t="s">
        <v>88</v>
      </c>
      <c r="F27" s="4" t="s">
        <v>100</v>
      </c>
      <c r="G27" s="5" t="s">
        <v>101</v>
      </c>
      <c r="H27" s="5" t="s">
        <v>102</v>
      </c>
      <c r="I27" s="4" t="s">
        <v>144</v>
      </c>
      <c r="J27" s="5" t="s">
        <v>59</v>
      </c>
      <c r="K27" s="5" t="s">
        <v>60</v>
      </c>
      <c r="L27" s="4" t="s">
        <v>145</v>
      </c>
    </row>
    <row r="28" customFormat="false" ht="15" hidden="false" customHeight="false" outlineLevel="0" collapsed="false">
      <c r="A28" s="4" t="s">
        <v>146</v>
      </c>
      <c r="B28" s="4" t="s">
        <v>147</v>
      </c>
      <c r="C28" s="4" t="s">
        <v>128</v>
      </c>
      <c r="D28" s="4" t="s">
        <v>17</v>
      </c>
      <c r="E28" s="4" t="s">
        <v>35</v>
      </c>
      <c r="F28" s="4" t="s">
        <v>100</v>
      </c>
      <c r="G28" s="5" t="s">
        <v>101</v>
      </c>
      <c r="H28" s="5" t="s">
        <v>102</v>
      </c>
      <c r="I28" s="4" t="s">
        <v>148</v>
      </c>
      <c r="J28" s="5" t="s">
        <v>64</v>
      </c>
      <c r="K28" s="5" t="s">
        <v>65</v>
      </c>
      <c r="L28" s="4" t="s">
        <v>149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1" topLeftCell="B12" activePane="bottomRight" state="frozen"/>
      <selection pane="topLeft" activeCell="A1" activeCellId="0" sqref="A1"/>
      <selection pane="topRight" activeCell="B1" activeCellId="0" sqref="B1"/>
      <selection pane="bottomLeft" activeCell="A12" activeCellId="0" sqref="A1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1"/>
    <col collapsed="false" customWidth="true" hidden="false" outlineLevel="0" max="4" min="4" style="0" width="14"/>
    <col collapsed="false" customWidth="true" hidden="false" outlineLevel="0" max="5" min="5" style="0" width="11"/>
    <col collapsed="false" customWidth="true" hidden="false" outlineLevel="0" max="6" min="6" style="0" width="20"/>
    <col collapsed="false" customWidth="true" hidden="false" outlineLevel="0" max="8" min="7" style="0" width="11"/>
    <col collapsed="false" customWidth="true" hidden="false" outlineLevel="0" max="9" min="9" style="0" width="10"/>
    <col collapsed="false" customWidth="true" hidden="false" outlineLevel="0" max="10" min="10" style="0" width="15"/>
    <col collapsed="false" customWidth="true" hidden="false" outlineLevel="0" max="11" min="11" style="0" width="48"/>
    <col collapsed="false" customWidth="true" hidden="false" outlineLevel="0" max="12" min="12" style="0" width="7"/>
  </cols>
  <sheetData>
    <row r="1" customFormat="false" ht="16.15" hidden="false" customHeight="false" outlineLevel="0" collapsed="false">
      <c r="A1" s="1" t="s">
        <v>150</v>
      </c>
    </row>
    <row r="2" customFormat="false" ht="15" hidden="false" customHeight="false" outlineLevel="0" collapsed="false">
      <c r="A2" s="2" t="s">
        <v>151</v>
      </c>
    </row>
    <row r="4" customFormat="false" ht="15" hidden="false" customHeight="false" outlineLevel="0" collapsed="false">
      <c r="A4" s="6" t="s">
        <v>152</v>
      </c>
    </row>
    <row r="5" customFormat="false" ht="15" hidden="false" customHeight="false" outlineLevel="0" collapsed="false">
      <c r="A5" s="7" t="s">
        <v>153</v>
      </c>
      <c r="B5" s="8" t="n">
        <v>4</v>
      </c>
      <c r="C5" s="2" t="s">
        <v>154</v>
      </c>
    </row>
    <row r="6" customFormat="false" ht="15" hidden="false" customHeight="false" outlineLevel="0" collapsed="false">
      <c r="A6" s="7" t="s">
        <v>155</v>
      </c>
      <c r="B6" s="8" t="n">
        <v>2</v>
      </c>
      <c r="C6" s="2" t="s">
        <v>156</v>
      </c>
    </row>
    <row r="7" customFormat="false" ht="15" hidden="false" customHeight="false" outlineLevel="0" collapsed="false">
      <c r="A7" s="7" t="s">
        <v>157</v>
      </c>
      <c r="B7" s="8" t="n">
        <v>5</v>
      </c>
      <c r="C7" s="2" t="s">
        <v>158</v>
      </c>
    </row>
    <row r="8" customFormat="false" ht="15" hidden="false" customHeight="false" outlineLevel="0" collapsed="false">
      <c r="A8" s="7" t="s">
        <v>159</v>
      </c>
      <c r="B8" s="9" t="n">
        <v>250000000</v>
      </c>
      <c r="C8" s="2" t="s">
        <v>160</v>
      </c>
    </row>
    <row r="11" customFormat="false" ht="31.5" hidden="false" customHeight="true" outlineLevel="0" collapsed="false">
      <c r="A11" s="3" t="s">
        <v>161</v>
      </c>
      <c r="B11" s="3" t="s">
        <v>4</v>
      </c>
      <c r="C11" s="3" t="s">
        <v>6</v>
      </c>
      <c r="D11" s="3" t="s">
        <v>162</v>
      </c>
      <c r="E11" s="3" t="s">
        <v>163</v>
      </c>
      <c r="F11" s="3" t="s">
        <v>164</v>
      </c>
      <c r="G11" s="3" t="s">
        <v>165</v>
      </c>
      <c r="H11" s="3" t="s">
        <v>166</v>
      </c>
      <c r="I11" s="3" t="s">
        <v>167</v>
      </c>
      <c r="J11" s="3" t="s">
        <v>168</v>
      </c>
      <c r="K11" s="3" t="s">
        <v>169</v>
      </c>
      <c r="L11" s="3" t="s">
        <v>170</v>
      </c>
    </row>
    <row r="12" customFormat="false" ht="15" hidden="false" customHeight="false" outlineLevel="0" collapsed="false">
      <c r="A12" s="4" t="s">
        <v>15</v>
      </c>
      <c r="B12" s="4" t="s">
        <v>16</v>
      </c>
      <c r="C12" s="4" t="s">
        <v>18</v>
      </c>
      <c r="D12" s="10" t="n">
        <v>5.35</v>
      </c>
      <c r="E12" s="10" t="n">
        <v>4</v>
      </c>
      <c r="F12" s="11" t="n">
        <f aca="false">IF(D12&lt;=$B$5,0,E12*(D12/$B$5-1))</f>
        <v>1.35</v>
      </c>
      <c r="G12" s="12" t="n">
        <f aca="false">D12*E12/(E12+F12)</f>
        <v>4</v>
      </c>
      <c r="H12" s="11" t="n">
        <f aca="false">$B$7</f>
        <v>5</v>
      </c>
      <c r="I12" s="13" t="n">
        <f aca="false">G12*H12/SUMPRODUCT($G$12:$G$35,$H$12:$H$35)</f>
        <v>0.037037037037037</v>
      </c>
      <c r="J12" s="14" t="n">
        <f aca="false">I12*$B$8</f>
        <v>9259259.25925926</v>
      </c>
      <c r="K12" s="4" t="s">
        <v>171</v>
      </c>
      <c r="L12" s="4" t="n">
        <v>1</v>
      </c>
    </row>
    <row r="13" customFormat="false" ht="15" hidden="false" customHeight="false" outlineLevel="0" collapsed="false">
      <c r="A13" s="4" t="s">
        <v>27</v>
      </c>
      <c r="B13" s="4" t="s">
        <v>16</v>
      </c>
      <c r="C13" s="4" t="s">
        <v>28</v>
      </c>
      <c r="D13" s="10" t="n">
        <v>18.7</v>
      </c>
      <c r="E13" s="4" t="n">
        <f aca="false">$B$6</f>
        <v>2</v>
      </c>
      <c r="F13" s="11" t="n">
        <f aca="false">IF(D13&lt;=$B$5,0,E13*(D13/$B$5-1))</f>
        <v>7.35</v>
      </c>
      <c r="G13" s="12" t="n">
        <f aca="false">D13*E13/(E13+F13)</f>
        <v>4</v>
      </c>
      <c r="H13" s="15" t="n">
        <v>7.5</v>
      </c>
      <c r="I13" s="13" t="n">
        <f aca="false">G13*H13/SUMPRODUCT($G$12:$G$35,$H$12:$H$35)</f>
        <v>0.0555555555555556</v>
      </c>
      <c r="J13" s="14" t="n">
        <f aca="false">I13*$B$8</f>
        <v>13888888.8888889</v>
      </c>
      <c r="K13" s="4" t="s">
        <v>172</v>
      </c>
      <c r="L13" s="4" t="n">
        <v>1</v>
      </c>
    </row>
    <row r="14" customFormat="false" ht="15" hidden="false" customHeight="false" outlineLevel="0" collapsed="false">
      <c r="A14" s="4" t="s">
        <v>34</v>
      </c>
      <c r="B14" s="4" t="s">
        <v>16</v>
      </c>
      <c r="C14" s="4" t="s">
        <v>35</v>
      </c>
      <c r="D14" s="10" t="n">
        <v>35.2</v>
      </c>
      <c r="E14" s="4" t="n">
        <f aca="false">$B$6</f>
        <v>2</v>
      </c>
      <c r="F14" s="11" t="n">
        <f aca="false">IF(D14&lt;=$B$5,0,E14*(D14/$B$5-1))</f>
        <v>15.6</v>
      </c>
      <c r="G14" s="12" t="n">
        <f aca="false">D14*E14/(E14+F14)</f>
        <v>4</v>
      </c>
      <c r="H14" s="11" t="n">
        <f aca="false">$B$7</f>
        <v>5</v>
      </c>
      <c r="I14" s="13" t="n">
        <f aca="false">G14*H14/SUMPRODUCT($G$12:$G$35,$H$12:$H$35)</f>
        <v>0.037037037037037</v>
      </c>
      <c r="J14" s="14" t="n">
        <f aca="false">I14*$B$8</f>
        <v>9259259.25925926</v>
      </c>
      <c r="K14" s="4"/>
      <c r="L14" s="4" t="n">
        <v>1</v>
      </c>
    </row>
    <row r="15" customFormat="false" ht="15" hidden="false" customHeight="false" outlineLevel="0" collapsed="false">
      <c r="A15" s="4" t="s">
        <v>40</v>
      </c>
      <c r="B15" s="4" t="s">
        <v>41</v>
      </c>
      <c r="C15" s="4" t="s">
        <v>18</v>
      </c>
      <c r="D15" s="10" t="n">
        <v>17.8</v>
      </c>
      <c r="E15" s="4" t="n">
        <f aca="false">$B$6</f>
        <v>2</v>
      </c>
      <c r="F15" s="11" t="n">
        <f aca="false">IF(D15&lt;=$B$5,0,E15*(D15/$B$5-1))</f>
        <v>6.9</v>
      </c>
      <c r="G15" s="12" t="n">
        <f aca="false">D15*E15/(E15+F15)</f>
        <v>4</v>
      </c>
      <c r="H15" s="11" t="n">
        <f aca="false">$B$7</f>
        <v>5</v>
      </c>
      <c r="I15" s="13" t="n">
        <f aca="false">G15*H15/SUMPRODUCT($G$12:$G$35,$H$12:$H$35)</f>
        <v>0.037037037037037</v>
      </c>
      <c r="J15" s="14" t="n">
        <f aca="false">I15*$B$8</f>
        <v>9259259.25925926</v>
      </c>
      <c r="K15" s="4"/>
      <c r="L15" s="4" t="n">
        <v>1</v>
      </c>
    </row>
    <row r="16" customFormat="false" ht="15" hidden="false" customHeight="false" outlineLevel="0" collapsed="false">
      <c r="A16" s="4" t="s">
        <v>46</v>
      </c>
      <c r="B16" s="4" t="s">
        <v>41</v>
      </c>
      <c r="C16" s="4" t="s">
        <v>28</v>
      </c>
      <c r="D16" s="10" t="n">
        <v>41.4</v>
      </c>
      <c r="E16" s="4" t="n">
        <f aca="false">$B$6</f>
        <v>2</v>
      </c>
      <c r="F16" s="11" t="n">
        <f aca="false">IF(D16&lt;=$B$5,0,E16*(D16/$B$5-1))</f>
        <v>18.7</v>
      </c>
      <c r="G16" s="12" t="n">
        <f aca="false">D16*E16/(E16+F16)</f>
        <v>4</v>
      </c>
      <c r="H16" s="15" t="n">
        <v>7.5</v>
      </c>
      <c r="I16" s="13" t="n">
        <f aca="false">G16*H16/SUMPRODUCT($G$12:$G$35,$H$12:$H$35)</f>
        <v>0.0555555555555556</v>
      </c>
      <c r="J16" s="14" t="n">
        <f aca="false">I16*$B$8</f>
        <v>13888888.8888889</v>
      </c>
      <c r="K16" s="4" t="s">
        <v>172</v>
      </c>
      <c r="L16" s="4" t="n">
        <v>1</v>
      </c>
    </row>
    <row r="17" customFormat="false" ht="15" hidden="false" customHeight="false" outlineLevel="0" collapsed="false">
      <c r="A17" s="4" t="s">
        <v>51</v>
      </c>
      <c r="B17" s="4" t="s">
        <v>41</v>
      </c>
      <c r="C17" s="4" t="s">
        <v>35</v>
      </c>
      <c r="D17" s="10" t="n">
        <v>41.2</v>
      </c>
      <c r="E17" s="4" t="n">
        <f aca="false">$B$6</f>
        <v>2</v>
      </c>
      <c r="F17" s="11" t="n">
        <f aca="false">IF(D17&lt;=$B$5,0,E17*(D17/$B$5-1))</f>
        <v>18.6</v>
      </c>
      <c r="G17" s="12" t="n">
        <f aca="false">D17*E17/(E17+F17)</f>
        <v>4</v>
      </c>
      <c r="H17" s="11" t="n">
        <f aca="false">$B$7</f>
        <v>5</v>
      </c>
      <c r="I17" s="13" t="n">
        <f aca="false">G17*H17/SUMPRODUCT($G$12:$G$35,$H$12:$H$35)</f>
        <v>0.037037037037037</v>
      </c>
      <c r="J17" s="14" t="n">
        <f aca="false">I17*$B$8</f>
        <v>9259259.25925926</v>
      </c>
      <c r="K17" s="4"/>
      <c r="L17" s="4" t="n">
        <v>1</v>
      </c>
    </row>
    <row r="18" customFormat="false" ht="15" hidden="false" customHeight="false" outlineLevel="0" collapsed="false">
      <c r="A18" s="4" t="s">
        <v>56</v>
      </c>
      <c r="B18" s="4" t="s">
        <v>16</v>
      </c>
      <c r="C18" s="4" t="s">
        <v>57</v>
      </c>
      <c r="D18" s="10" t="n">
        <v>45.9</v>
      </c>
      <c r="E18" s="4" t="n">
        <f aca="false">$B$6</f>
        <v>2</v>
      </c>
      <c r="F18" s="11" t="n">
        <f aca="false">IF(D18&lt;=$B$5,0,E18*(D18/$B$5-1))</f>
        <v>20.95</v>
      </c>
      <c r="G18" s="12" t="n">
        <f aca="false">D18*E18/(E18+F18)</f>
        <v>4</v>
      </c>
      <c r="H18" s="11" t="n">
        <f aca="false">$B$7</f>
        <v>5</v>
      </c>
      <c r="I18" s="13" t="n">
        <f aca="false">G18*H18/SUMPRODUCT($G$12:$G$35,$H$12:$H$35)</f>
        <v>0.037037037037037</v>
      </c>
      <c r="J18" s="14" t="n">
        <f aca="false">I18*$B$8</f>
        <v>9259259.25925926</v>
      </c>
      <c r="K18" s="4"/>
      <c r="L18" s="4" t="n">
        <v>1</v>
      </c>
    </row>
    <row r="19" customFormat="false" ht="15" hidden="false" customHeight="false" outlineLevel="0" collapsed="false">
      <c r="A19" s="4" t="s">
        <v>62</v>
      </c>
      <c r="B19" s="4" t="s">
        <v>16</v>
      </c>
      <c r="C19" s="4" t="s">
        <v>18</v>
      </c>
      <c r="D19" s="10" t="n">
        <v>19.6</v>
      </c>
      <c r="E19" s="4" t="n">
        <f aca="false">$B$6</f>
        <v>2</v>
      </c>
      <c r="F19" s="11" t="n">
        <f aca="false">IF(D19&lt;=$B$5,0,E19*(D19/$B$5-1))</f>
        <v>7.8</v>
      </c>
      <c r="G19" s="12" t="n">
        <f aca="false">D19*E19/(E19+F19)</f>
        <v>4</v>
      </c>
      <c r="H19" s="11" t="n">
        <f aca="false">$B$7</f>
        <v>5</v>
      </c>
      <c r="I19" s="13" t="n">
        <f aca="false">G19*H19/SUMPRODUCT($G$12:$G$35,$H$12:$H$35)</f>
        <v>0.037037037037037</v>
      </c>
      <c r="J19" s="14" t="n">
        <f aca="false">I19*$B$8</f>
        <v>9259259.25925926</v>
      </c>
      <c r="K19" s="4"/>
      <c r="L19" s="4" t="n">
        <v>1</v>
      </c>
    </row>
    <row r="20" customFormat="false" ht="15" hidden="false" customHeight="false" outlineLevel="0" collapsed="false">
      <c r="A20" s="4" t="s">
        <v>67</v>
      </c>
      <c r="B20" s="4" t="s">
        <v>16</v>
      </c>
      <c r="C20" s="4" t="s">
        <v>28</v>
      </c>
      <c r="D20" s="10" t="n">
        <v>34.6</v>
      </c>
      <c r="E20" s="4" t="n">
        <f aca="false">$B$6</f>
        <v>2</v>
      </c>
      <c r="F20" s="11" t="n">
        <f aca="false">IF(D20&lt;=$B$5,0,E20*(D20/$B$5-1))</f>
        <v>15.3</v>
      </c>
      <c r="G20" s="12" t="n">
        <f aca="false">D20*E20/(E20+F20)</f>
        <v>4</v>
      </c>
      <c r="H20" s="15" t="n">
        <v>7.5</v>
      </c>
      <c r="I20" s="13" t="n">
        <f aca="false">G20*H20/SUMPRODUCT($G$12:$G$35,$H$12:$H$35)</f>
        <v>0.0555555555555556</v>
      </c>
      <c r="J20" s="14" t="n">
        <f aca="false">I20*$B$8</f>
        <v>13888888.8888889</v>
      </c>
      <c r="K20" s="4" t="s">
        <v>172</v>
      </c>
      <c r="L20" s="4" t="n">
        <v>1</v>
      </c>
    </row>
    <row r="21" customFormat="false" ht="15" hidden="false" customHeight="false" outlineLevel="0" collapsed="false">
      <c r="A21" s="4" t="s">
        <v>72</v>
      </c>
      <c r="B21" s="4" t="s">
        <v>16</v>
      </c>
      <c r="C21" s="4" t="s">
        <v>57</v>
      </c>
      <c r="D21" s="10" t="n">
        <v>75.1</v>
      </c>
      <c r="E21" s="4" t="n">
        <f aca="false">$B$6</f>
        <v>2</v>
      </c>
      <c r="F21" s="11" t="n">
        <f aca="false">IF(D21&lt;=$B$5,0,E21*(D21/$B$5-1))</f>
        <v>35.55</v>
      </c>
      <c r="G21" s="12" t="n">
        <f aca="false">D21*E21/(E21+F21)</f>
        <v>4</v>
      </c>
      <c r="H21" s="11" t="n">
        <f aca="false">$B$7</f>
        <v>5</v>
      </c>
      <c r="I21" s="13" t="n">
        <f aca="false">G21*H21/SUMPRODUCT($G$12:$G$35,$H$12:$H$35)</f>
        <v>0.037037037037037</v>
      </c>
      <c r="J21" s="14" t="n">
        <f aca="false">I21*$B$8</f>
        <v>9259259.25925926</v>
      </c>
      <c r="K21" s="4"/>
      <c r="L21" s="4" t="n">
        <v>1</v>
      </c>
    </row>
    <row r="22" customFormat="false" ht="15" hidden="false" customHeight="false" outlineLevel="0" collapsed="false">
      <c r="A22" s="4" t="s">
        <v>77</v>
      </c>
      <c r="B22" s="4" t="s">
        <v>16</v>
      </c>
      <c r="C22" s="4" t="s">
        <v>18</v>
      </c>
      <c r="D22" s="10" t="n">
        <v>30.8</v>
      </c>
      <c r="E22" s="4" t="n">
        <f aca="false">$B$6</f>
        <v>2</v>
      </c>
      <c r="F22" s="11" t="n">
        <f aca="false">IF(D22&lt;=$B$5,0,E22*(D22/$B$5-1))</f>
        <v>13.4</v>
      </c>
      <c r="G22" s="12" t="n">
        <f aca="false">D22*E22/(E22+F22)</f>
        <v>4</v>
      </c>
      <c r="H22" s="11" t="n">
        <f aca="false">$B$7</f>
        <v>5</v>
      </c>
      <c r="I22" s="13" t="n">
        <f aca="false">G22*H22/SUMPRODUCT($G$12:$G$35,$H$12:$H$35)</f>
        <v>0.037037037037037</v>
      </c>
      <c r="J22" s="14" t="n">
        <f aca="false">I22*$B$8</f>
        <v>9259259.25925926</v>
      </c>
      <c r="K22" s="4"/>
      <c r="L22" s="4" t="n">
        <v>1</v>
      </c>
    </row>
    <row r="23" customFormat="false" ht="15" hidden="false" customHeight="false" outlineLevel="0" collapsed="false">
      <c r="A23" s="4" t="s">
        <v>82</v>
      </c>
      <c r="B23" s="4" t="s">
        <v>16</v>
      </c>
      <c r="C23" s="4" t="s">
        <v>28</v>
      </c>
      <c r="D23" s="10" t="n">
        <v>24.9</v>
      </c>
      <c r="E23" s="4" t="n">
        <f aca="false">$B$6</f>
        <v>2</v>
      </c>
      <c r="F23" s="11" t="n">
        <f aca="false">IF(D23&lt;=$B$5,0,E23*(D23/$B$5-1))</f>
        <v>10.45</v>
      </c>
      <c r="G23" s="12" t="n">
        <f aca="false">D23*E23/(E23+F23)</f>
        <v>4</v>
      </c>
      <c r="H23" s="15" t="n">
        <v>7.5</v>
      </c>
      <c r="I23" s="13" t="n">
        <f aca="false">G23*H23/SUMPRODUCT($G$12:$G$35,$H$12:$H$35)</f>
        <v>0.0555555555555556</v>
      </c>
      <c r="J23" s="14" t="n">
        <f aca="false">I23*$B$8</f>
        <v>13888888.8888889</v>
      </c>
      <c r="K23" s="4" t="s">
        <v>172</v>
      </c>
      <c r="L23" s="4" t="n">
        <v>1</v>
      </c>
    </row>
    <row r="24" customFormat="false" ht="15" hidden="false" customHeight="false" outlineLevel="0" collapsed="false">
      <c r="A24" s="4" t="s">
        <v>87</v>
      </c>
      <c r="B24" s="4" t="s">
        <v>16</v>
      </c>
      <c r="C24" s="4" t="s">
        <v>88</v>
      </c>
      <c r="D24" s="10" t="n">
        <v>66.1</v>
      </c>
      <c r="E24" s="4" t="n">
        <f aca="false">$B$6</f>
        <v>2</v>
      </c>
      <c r="F24" s="11" t="n">
        <f aca="false">IF(D24&lt;=$B$5,0,E24*(D24/$B$5-1))</f>
        <v>31.05</v>
      </c>
      <c r="G24" s="12" t="n">
        <f aca="false">D24*E24/(E24+F24)</f>
        <v>4</v>
      </c>
      <c r="H24" s="11" t="n">
        <f aca="false">$B$7</f>
        <v>5</v>
      </c>
      <c r="I24" s="13" t="n">
        <f aca="false">G24*H24/SUMPRODUCT($G$12:$G$35,$H$12:$H$35)</f>
        <v>0.037037037037037</v>
      </c>
      <c r="J24" s="14" t="n">
        <f aca="false">I24*$B$8</f>
        <v>9259259.25925926</v>
      </c>
      <c r="K24" s="4"/>
      <c r="L24" s="4" t="n">
        <v>1</v>
      </c>
    </row>
    <row r="25" customFormat="false" ht="15" hidden="false" customHeight="false" outlineLevel="0" collapsed="false">
      <c r="A25" s="4" t="s">
        <v>93</v>
      </c>
      <c r="B25" s="4" t="s">
        <v>16</v>
      </c>
      <c r="C25" s="4" t="s">
        <v>35</v>
      </c>
      <c r="D25" s="10" t="n">
        <v>14.9</v>
      </c>
      <c r="E25" s="4" t="n">
        <f aca="false">$B$6</f>
        <v>2</v>
      </c>
      <c r="F25" s="11" t="n">
        <f aca="false">IF(D25&lt;=$B$5,0,E25*(D25/$B$5-1))</f>
        <v>5.45</v>
      </c>
      <c r="G25" s="12" t="n">
        <f aca="false">D25*E25/(E25+F25)</f>
        <v>4</v>
      </c>
      <c r="H25" s="11" t="n">
        <f aca="false">$B$7</f>
        <v>5</v>
      </c>
      <c r="I25" s="13" t="n">
        <f aca="false">G25*H25/SUMPRODUCT($G$12:$G$35,$H$12:$H$35)</f>
        <v>0.037037037037037</v>
      </c>
      <c r="J25" s="14" t="n">
        <f aca="false">I25*$B$8</f>
        <v>9259259.25925926</v>
      </c>
      <c r="K25" s="4"/>
      <c r="L25" s="4" t="n">
        <v>1</v>
      </c>
    </row>
    <row r="26" customFormat="false" ht="15" hidden="false" customHeight="false" outlineLevel="0" collapsed="false">
      <c r="A26" s="4" t="s">
        <v>98</v>
      </c>
      <c r="B26" s="4" t="s">
        <v>99</v>
      </c>
      <c r="C26" s="4" t="s">
        <v>57</v>
      </c>
      <c r="D26" s="10" t="n">
        <v>30</v>
      </c>
      <c r="E26" s="4" t="n">
        <f aca="false">$B$6</f>
        <v>2</v>
      </c>
      <c r="F26" s="11" t="n">
        <f aca="false">IF(D26&lt;=$B$5,0,E26*(D26/$B$5-1))</f>
        <v>13</v>
      </c>
      <c r="G26" s="12" t="n">
        <f aca="false">D26*E26/(E26+F26)</f>
        <v>4</v>
      </c>
      <c r="H26" s="11" t="n">
        <f aca="false">$B$7</f>
        <v>5</v>
      </c>
      <c r="I26" s="13" t="n">
        <f aca="false">G26*H26/SUMPRODUCT($G$12:$G$35,$H$12:$H$35)</f>
        <v>0.037037037037037</v>
      </c>
      <c r="J26" s="14" t="n">
        <f aca="false">I26*$B$8</f>
        <v>9259259.25925926</v>
      </c>
      <c r="K26" s="4"/>
      <c r="L26" s="4" t="n">
        <v>2</v>
      </c>
    </row>
    <row r="27" customFormat="false" ht="15" hidden="false" customHeight="false" outlineLevel="0" collapsed="false">
      <c r="A27" s="4" t="s">
        <v>107</v>
      </c>
      <c r="B27" s="4" t="s">
        <v>99</v>
      </c>
      <c r="C27" s="4" t="s">
        <v>18</v>
      </c>
      <c r="D27" s="10" t="n">
        <v>27.6</v>
      </c>
      <c r="E27" s="4" t="n">
        <f aca="false">$B$6</f>
        <v>2</v>
      </c>
      <c r="F27" s="11" t="n">
        <f aca="false">IF(D27&lt;=$B$5,0,E27*(D27/$B$5-1))</f>
        <v>11.8</v>
      </c>
      <c r="G27" s="12" t="n">
        <f aca="false">D27*E27/(E27+F27)</f>
        <v>4</v>
      </c>
      <c r="H27" s="11" t="n">
        <f aca="false">$B$7</f>
        <v>5</v>
      </c>
      <c r="I27" s="13" t="n">
        <f aca="false">G27*H27/SUMPRODUCT($G$12:$G$35,$H$12:$H$35)</f>
        <v>0.037037037037037</v>
      </c>
      <c r="J27" s="14" t="n">
        <f aca="false">I27*$B$8</f>
        <v>9259259.25925926</v>
      </c>
      <c r="K27" s="4"/>
      <c r="L27" s="4" t="n">
        <v>2</v>
      </c>
    </row>
    <row r="28" customFormat="false" ht="15" hidden="false" customHeight="false" outlineLevel="0" collapsed="false">
      <c r="A28" s="4" t="s">
        <v>112</v>
      </c>
      <c r="B28" s="4" t="s">
        <v>99</v>
      </c>
      <c r="C28" s="4" t="s">
        <v>28</v>
      </c>
      <c r="D28" s="10" t="n">
        <v>110</v>
      </c>
      <c r="E28" s="10" t="n">
        <v>1</v>
      </c>
      <c r="F28" s="11" t="n">
        <f aca="false">IF(D28&lt;=$B$5,0,E28*(D28/$B$5-1))</f>
        <v>26.5</v>
      </c>
      <c r="G28" s="12" t="n">
        <f aca="false">D28*E28/(E28+F28)</f>
        <v>4</v>
      </c>
      <c r="H28" s="15" t="n">
        <v>7.5</v>
      </c>
      <c r="I28" s="13" t="n">
        <f aca="false">G28*H28/SUMPRODUCT($G$12:$G$35,$H$12:$H$35)</f>
        <v>0.0555555555555556</v>
      </c>
      <c r="J28" s="14" t="n">
        <f aca="false">I28*$B$8</f>
        <v>13888888.8888889</v>
      </c>
      <c r="K28" s="4" t="s">
        <v>173</v>
      </c>
      <c r="L28" s="4" t="n">
        <v>2</v>
      </c>
    </row>
    <row r="29" customFormat="false" ht="15" hidden="false" customHeight="false" outlineLevel="0" collapsed="false">
      <c r="A29" s="4" t="s">
        <v>117</v>
      </c>
      <c r="B29" s="4" t="s">
        <v>99</v>
      </c>
      <c r="C29" s="4" t="s">
        <v>88</v>
      </c>
      <c r="D29" s="10" t="n">
        <v>24.7</v>
      </c>
      <c r="E29" s="4" t="n">
        <f aca="false">$B$6</f>
        <v>2</v>
      </c>
      <c r="F29" s="11" t="n">
        <f aca="false">IF(D29&lt;=$B$5,0,E29*(D29/$B$5-1))</f>
        <v>10.35</v>
      </c>
      <c r="G29" s="12" t="n">
        <f aca="false">D29*E29/(E29+F29)</f>
        <v>4</v>
      </c>
      <c r="H29" s="11" t="n">
        <f aca="false">$B$7</f>
        <v>5</v>
      </c>
      <c r="I29" s="13" t="n">
        <f aca="false">G29*H29/SUMPRODUCT($G$12:$G$35,$H$12:$H$35)</f>
        <v>0.037037037037037</v>
      </c>
      <c r="J29" s="14" t="n">
        <f aca="false">I29*$B$8</f>
        <v>9259259.25925926</v>
      </c>
      <c r="K29" s="4"/>
      <c r="L29" s="4" t="n">
        <v>2</v>
      </c>
    </row>
    <row r="30" customFormat="false" ht="15" hidden="false" customHeight="false" outlineLevel="0" collapsed="false">
      <c r="A30" s="4" t="s">
        <v>122</v>
      </c>
      <c r="B30" s="4" t="s">
        <v>99</v>
      </c>
      <c r="C30" s="4" t="s">
        <v>35</v>
      </c>
      <c r="D30" s="10" t="n">
        <v>70.3</v>
      </c>
      <c r="E30" s="10" t="n">
        <v>1</v>
      </c>
      <c r="F30" s="11" t="n">
        <f aca="false">IF(D30&lt;=$B$5,0,E30*(D30/$B$5-1))</f>
        <v>16.575</v>
      </c>
      <c r="G30" s="12" t="n">
        <f aca="false">D30*E30/(E30+F30)</f>
        <v>4</v>
      </c>
      <c r="H30" s="11" t="n">
        <f aca="false">$B$7</f>
        <v>5</v>
      </c>
      <c r="I30" s="13" t="n">
        <f aca="false">G30*H30/SUMPRODUCT($G$12:$G$35,$H$12:$H$35)</f>
        <v>0.037037037037037</v>
      </c>
      <c r="J30" s="14" t="n">
        <f aca="false">I30*$B$8</f>
        <v>9259259.25925926</v>
      </c>
      <c r="K30" s="4" t="s">
        <v>174</v>
      </c>
      <c r="L30" s="4" t="n">
        <v>2</v>
      </c>
    </row>
    <row r="31" customFormat="false" ht="15" hidden="false" customHeight="false" outlineLevel="0" collapsed="false">
      <c r="A31" s="4" t="s">
        <v>127</v>
      </c>
      <c r="B31" s="4" t="s">
        <v>128</v>
      </c>
      <c r="C31" s="4" t="s">
        <v>57</v>
      </c>
      <c r="D31" s="10" t="n">
        <v>90.1</v>
      </c>
      <c r="E31" s="10" t="n">
        <v>1</v>
      </c>
      <c r="F31" s="11" t="n">
        <f aca="false">IF(D31&lt;=$B$5,0,E31*(D31/$B$5-1))</f>
        <v>21.525</v>
      </c>
      <c r="G31" s="12" t="n">
        <f aca="false">D31*E31/(E31+F31)</f>
        <v>4</v>
      </c>
      <c r="H31" s="11" t="n">
        <f aca="false">$B$7</f>
        <v>5</v>
      </c>
      <c r="I31" s="13" t="n">
        <f aca="false">G31*H31/SUMPRODUCT($G$12:$G$35,$H$12:$H$35)</f>
        <v>0.037037037037037</v>
      </c>
      <c r="J31" s="14" t="n">
        <f aca="false">I31*$B$8</f>
        <v>9259259.25925926</v>
      </c>
      <c r="K31" s="4" t="s">
        <v>174</v>
      </c>
      <c r="L31" s="4" t="n">
        <v>2</v>
      </c>
    </row>
    <row r="32" customFormat="false" ht="15" hidden="false" customHeight="false" outlineLevel="0" collapsed="false">
      <c r="A32" s="4" t="s">
        <v>133</v>
      </c>
      <c r="B32" s="4" t="s">
        <v>128</v>
      </c>
      <c r="C32" s="4" t="s">
        <v>18</v>
      </c>
      <c r="D32" s="10" t="n">
        <v>96.7</v>
      </c>
      <c r="E32" s="10" t="n">
        <v>1</v>
      </c>
      <c r="F32" s="11" t="n">
        <f aca="false">IF(D32&lt;=$B$5,0,E32*(D32/$B$5-1))</f>
        <v>23.175</v>
      </c>
      <c r="G32" s="12" t="n">
        <f aca="false">D32*E32/(E32+F32)</f>
        <v>4</v>
      </c>
      <c r="H32" s="11" t="n">
        <f aca="false">$B$7</f>
        <v>5</v>
      </c>
      <c r="I32" s="13" t="n">
        <f aca="false">G32*H32/SUMPRODUCT($G$12:$G$35,$H$12:$H$35)</f>
        <v>0.037037037037037</v>
      </c>
      <c r="J32" s="14" t="n">
        <f aca="false">I32*$B$8</f>
        <v>9259259.25925926</v>
      </c>
      <c r="K32" s="4" t="s">
        <v>174</v>
      </c>
      <c r="L32" s="4" t="n">
        <v>2</v>
      </c>
    </row>
    <row r="33" customFormat="false" ht="15" hidden="false" customHeight="false" outlineLevel="0" collapsed="false">
      <c r="A33" s="4" t="s">
        <v>138</v>
      </c>
      <c r="B33" s="4" t="s">
        <v>128</v>
      </c>
      <c r="C33" s="4" t="s">
        <v>28</v>
      </c>
      <c r="D33" s="10" t="n">
        <v>110</v>
      </c>
      <c r="E33" s="10" t="n">
        <v>1</v>
      </c>
      <c r="F33" s="11" t="n">
        <f aca="false">IF(D33&lt;=$B$5,0,E33*(D33/$B$5-1))</f>
        <v>26.5</v>
      </c>
      <c r="G33" s="12" t="n">
        <f aca="false">D33*E33/(E33+F33)</f>
        <v>4</v>
      </c>
      <c r="H33" s="15" t="n">
        <v>7.5</v>
      </c>
      <c r="I33" s="13" t="n">
        <f aca="false">G33*H33/SUMPRODUCT($G$12:$G$35,$H$12:$H$35)</f>
        <v>0.0555555555555556</v>
      </c>
      <c r="J33" s="14" t="n">
        <f aca="false">I33*$B$8</f>
        <v>13888888.8888889</v>
      </c>
      <c r="K33" s="4" t="s">
        <v>173</v>
      </c>
      <c r="L33" s="4" t="n">
        <v>2</v>
      </c>
    </row>
    <row r="34" customFormat="false" ht="15" hidden="false" customHeight="false" outlineLevel="0" collapsed="false">
      <c r="A34" s="4" t="s">
        <v>143</v>
      </c>
      <c r="B34" s="4" t="s">
        <v>128</v>
      </c>
      <c r="C34" s="4" t="s">
        <v>88</v>
      </c>
      <c r="D34" s="10" t="n">
        <v>79.1</v>
      </c>
      <c r="E34" s="10" t="n">
        <v>1</v>
      </c>
      <c r="F34" s="11" t="n">
        <f aca="false">IF(D34&lt;=$B$5,0,E34*(D34/$B$5-1))</f>
        <v>18.775</v>
      </c>
      <c r="G34" s="12" t="n">
        <f aca="false">D34*E34/(E34+F34)</f>
        <v>4</v>
      </c>
      <c r="H34" s="11" t="n">
        <f aca="false">$B$7</f>
        <v>5</v>
      </c>
      <c r="I34" s="13" t="n">
        <f aca="false">G34*H34/SUMPRODUCT($G$12:$G$35,$H$12:$H$35)</f>
        <v>0.037037037037037</v>
      </c>
      <c r="J34" s="14" t="n">
        <f aca="false">I34*$B$8</f>
        <v>9259259.25925926</v>
      </c>
      <c r="K34" s="4" t="s">
        <v>174</v>
      </c>
      <c r="L34" s="4" t="n">
        <v>2</v>
      </c>
    </row>
    <row r="35" customFormat="false" ht="15" hidden="false" customHeight="false" outlineLevel="0" collapsed="false">
      <c r="A35" s="4" t="s">
        <v>147</v>
      </c>
      <c r="B35" s="4" t="s">
        <v>128</v>
      </c>
      <c r="C35" s="4" t="s">
        <v>35</v>
      </c>
      <c r="D35" s="10" t="n">
        <v>28.5</v>
      </c>
      <c r="E35" s="4" t="n">
        <f aca="false">$B$6</f>
        <v>2</v>
      </c>
      <c r="F35" s="11" t="n">
        <f aca="false">IF(D35&lt;=$B$5,0,E35*(D35/$B$5-1))</f>
        <v>12.25</v>
      </c>
      <c r="G35" s="12" t="n">
        <f aca="false">D35*E35/(E35+F35)</f>
        <v>4</v>
      </c>
      <c r="H35" s="11" t="n">
        <f aca="false">$B$7</f>
        <v>5</v>
      </c>
      <c r="I35" s="13" t="n">
        <f aca="false">G35*H35/SUMPRODUCT($G$12:$G$35,$H$12:$H$35)</f>
        <v>0.037037037037037</v>
      </c>
      <c r="J35" s="14" t="n">
        <f aca="false">I35*$B$8</f>
        <v>9259259.25925926</v>
      </c>
      <c r="K35" s="4"/>
      <c r="L35" s="4" t="n">
        <v>2</v>
      </c>
    </row>
    <row r="36" customFormat="false" ht="15" hidden="false" customHeight="false" outlineLevel="0" collapsed="false">
      <c r="A36" s="6" t="s">
        <v>175</v>
      </c>
      <c r="H36" s="16" t="n">
        <f aca="false">SUM(H12:H35)</f>
        <v>135</v>
      </c>
      <c r="I36" s="17" t="n">
        <f aca="false">SUM(I12:I35)</f>
        <v>1</v>
      </c>
      <c r="J36" s="18" t="n">
        <f aca="false">SUM(J12:J35)</f>
        <v>250000000</v>
      </c>
    </row>
    <row r="37" customFormat="false" ht="15" hidden="false" customHeight="false" outlineLevel="0" collapsed="false">
      <c r="A37" s="6" t="s">
        <v>176</v>
      </c>
      <c r="B37" s="19" t="n">
        <f aca="false">SUMPRODUCT(G12:G35,H12:H35)/H36</f>
        <v>4</v>
      </c>
    </row>
    <row r="38" customFormat="false" ht="15" hidden="false" customHeight="false" outlineLevel="0" collapsed="false">
      <c r="A38" s="6" t="s">
        <v>177</v>
      </c>
      <c r="B38" s="20" t="n">
        <f aca="false">SUMIF(L12:L35,1,H12:H35)</f>
        <v>80</v>
      </c>
    </row>
    <row r="39" customFormat="false" ht="15" hidden="false" customHeight="false" outlineLevel="0" collapsed="false">
      <c r="A39" s="6" t="s">
        <v>178</v>
      </c>
      <c r="B39" s="20" t="n">
        <f aca="false">SUMIF(L12:L35,2,H12:H35)</f>
        <v>55</v>
      </c>
    </row>
    <row r="40" customFormat="false" ht="15" hidden="false" customHeight="false" outlineLevel="0" collapsed="false">
      <c r="A40" s="6" t="s">
        <v>179</v>
      </c>
      <c r="B40" s="21" t="n">
        <f aca="false">B38/B39</f>
        <v>1.45454545454545</v>
      </c>
    </row>
    <row r="42" customFormat="false" ht="15" hidden="false" customHeight="false" outlineLevel="0" collapsed="false">
      <c r="A42" s="6" t="s">
        <v>13</v>
      </c>
    </row>
    <row r="43" customFormat="false" ht="15" hidden="false" customHeight="false" outlineLevel="0" collapsed="false">
      <c r="A43" s="22" t="s">
        <v>180</v>
      </c>
    </row>
    <row r="44" customFormat="false" ht="15" hidden="false" customHeight="false" outlineLevel="0" collapsed="false">
      <c r="A44" s="22" t="s">
        <v>181</v>
      </c>
    </row>
    <row r="45" customFormat="false" ht="15" hidden="false" customHeight="false" outlineLevel="0" collapsed="false">
      <c r="A45" s="22" t="s">
        <v>182</v>
      </c>
    </row>
    <row r="46" customFormat="false" ht="15" hidden="false" customHeight="false" outlineLevel="0" collapsed="false">
      <c r="A46" s="22" t="s">
        <v>183</v>
      </c>
    </row>
    <row r="47" customFormat="false" ht="15" hidden="false" customHeight="false" outlineLevel="0" collapsed="false">
      <c r="A47" s="22" t="s">
        <v>184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80"/>
  </cols>
  <sheetData>
    <row r="1" customFormat="false" ht="15" hidden="false" customHeight="false" outlineLevel="0" collapsed="false">
      <c r="A1" s="23" t="s">
        <v>185</v>
      </c>
      <c r="B1" s="23" t="s">
        <v>186</v>
      </c>
    </row>
    <row r="2" customFormat="false" ht="15" hidden="false" customHeight="false" outlineLevel="0" collapsed="false">
      <c r="A2" s="24" t="s">
        <v>187</v>
      </c>
      <c r="B2" s="4" t="s">
        <v>188</v>
      </c>
    </row>
    <row r="3" customFormat="false" ht="15" hidden="false" customHeight="false" outlineLevel="0" collapsed="false">
      <c r="A3" s="24" t="s">
        <v>189</v>
      </c>
      <c r="B3" s="4" t="s">
        <v>190</v>
      </c>
    </row>
    <row r="4" customFormat="false" ht="15" hidden="false" customHeight="false" outlineLevel="0" collapsed="false">
      <c r="A4" s="24" t="s">
        <v>191</v>
      </c>
      <c r="B4" s="4" t="s">
        <v>192</v>
      </c>
    </row>
    <row r="5" customFormat="false" ht="15" hidden="false" customHeight="false" outlineLevel="0" collapsed="false">
      <c r="A5" s="24" t="s">
        <v>193</v>
      </c>
      <c r="B5" s="4" t="s">
        <v>194</v>
      </c>
    </row>
    <row r="6" customFormat="false" ht="15" hidden="false" customHeight="false" outlineLevel="0" collapsed="false">
      <c r="A6" s="24" t="s">
        <v>195</v>
      </c>
      <c r="B6" s="4" t="s">
        <v>196</v>
      </c>
    </row>
    <row r="7" customFormat="false" ht="15" hidden="false" customHeight="false" outlineLevel="0" collapsed="false">
      <c r="A7" s="24" t="s">
        <v>197</v>
      </c>
      <c r="B7" s="14" t="n">
        <f aca="false">Pooling!B8</f>
        <v>250000000</v>
      </c>
    </row>
    <row r="8" customFormat="false" ht="15" hidden="false" customHeight="false" outlineLevel="0" collapsed="false">
      <c r="A8" s="24" t="s">
        <v>176</v>
      </c>
      <c r="B8" s="12" t="n">
        <f aca="false">Pooling!B37</f>
        <v>4</v>
      </c>
    </row>
    <row r="9" customFormat="false" ht="15" hidden="false" customHeight="false" outlineLevel="0" collapsed="false">
      <c r="A9" s="24" t="s">
        <v>198</v>
      </c>
      <c r="B9" s="11" t="n">
        <f aca="false">Pooling!H36</f>
        <v>135</v>
      </c>
    </row>
    <row r="10" customFormat="false" ht="15" hidden="false" customHeight="false" outlineLevel="0" collapsed="false">
      <c r="A10" s="24" t="s">
        <v>199</v>
      </c>
      <c r="B10" s="4" t="s">
        <v>200</v>
      </c>
    </row>
    <row r="11" customFormat="false" ht="15" hidden="false" customHeight="false" outlineLevel="0" collapsed="false">
      <c r="A11" s="24" t="s">
        <v>201</v>
      </c>
      <c r="B11" s="4" t="s">
        <v>202</v>
      </c>
    </row>
    <row r="12" customFormat="false" ht="15" hidden="false" customHeight="false" outlineLevel="0" collapsed="false">
      <c r="A12" s="24" t="s">
        <v>203</v>
      </c>
      <c r="B12" s="4" t="s">
        <v>204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2026-10-26T05:59:29Z</dcterms:created>
  <dc:creator>openpyxl</dc:creator>
  <dc:description/>
  <dc:language>en-US</dc:language>
  <cp:lastModifiedBy/>
  <dcterms:modified xsi:type="dcterms:W3CDTF">2026-10-26T05:59:29Z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