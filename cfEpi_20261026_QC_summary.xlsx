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r_library" sheetId="1" state="visible" r:id="rId3"/>
    <sheet name="By_mark" sheetId="2" state="visible" r:id="rId4"/>
    <sheet name="By_batch" sheetId="3" state="visible" r:id="rId5"/>
    <sheet name="vs_Chen2026" sheetId="4" state="visible" r:id="rId6"/>
  </sheets>
  <definedNames>
    <definedName function="false" hidden="true" localSheetId="0" name="_xlnm._FilterDatabase" vbProcedure="false">Per_library!$A$4:$U$28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<sst xmlns="http://schemas.openxmlformats.org/spreadsheetml/2006/main" count="293" uniqueCount="131">
  <si>
    <t xml:space="preserve">cf-EpiTracing run 20261026 — QC summary per library</t>
  </si>
  <si>
    <t xml:space="preserve">hg38+dm6, bowtie2, MAPQ≥30 proper pairs, duplicates removed. TSS/flank = mean signal TSS±500 bp vs 4–5 kb flanks; body active/silent = gene-body signal of active vs silent genes (reference cfEpi_10 H3K4me3). Targets: H3K4me3 TSS/flank ≥10; acetylation &gt;3; H3K36me3 body active/silent &gt;2; IgG ≈1.</t>
  </si>
  <si>
    <t xml:space="preserve">Sample</t>
  </si>
  <si>
    <t xml:space="preserve">Donor</t>
  </si>
  <si>
    <t xml:space="preserve">Prep</t>
  </si>
  <si>
    <t xml:space="preserve">Mark</t>
  </si>
  <si>
    <t xml:space="preserve">Read pairs</t>
  </si>
  <si>
    <t xml:space="preserve">Aligned %</t>
  </si>
  <si>
    <t xml:space="preserve">Duplicates % (of aligned)</t>
  </si>
  <si>
    <t xml:space="preserve">Unique human fragments</t>
  </si>
  <si>
    <t xml:space="preserve">dm6 (S2) fraction</t>
  </si>
  <si>
    <t xml:space="preserve">TSS/flank</t>
  </si>
  <si>
    <t xml:space="preserve">TSS/genome</t>
  </si>
  <si>
    <t xml:space="preserve">Body/genome</t>
  </si>
  <si>
    <t xml:space="preserve">Body active/silent</t>
  </si>
  <si>
    <t xml:space="preserve">TSS active/silent</t>
  </si>
  <si>
    <t xml:space="preserve">Peaks (merged)</t>
  </si>
  <si>
    <t xml:space="preserve">GC % (aligned)</t>
  </si>
  <si>
    <t xml:space="preserve">FRiP %</t>
  </si>
  <si>
    <t xml:space="preserve">% reads at TSS ±1 kb</t>
  </si>
  <si>
    <t xml:space="preserve">% reads in gene bodies</t>
  </si>
  <si>
    <t xml:space="preserve">Verdict</t>
  </si>
  <si>
    <t xml:space="preserve">Comment</t>
  </si>
  <si>
    <t xml:space="preserve">cfEpi_1</t>
  </si>
  <si>
    <t xml:space="preserve">HC1</t>
  </si>
  <si>
    <t xml:space="preserve">HPL</t>
  </si>
  <si>
    <t xml:space="preserve">H3K27ac</t>
  </si>
  <si>
    <t xml:space="preserve">Use</t>
  </si>
  <si>
    <t xml:space="preserve">Test conjugate; best H3K27ac; foreign DNA in batch 1–6</t>
  </si>
  <si>
    <t xml:space="preserve">cfEpi_2</t>
  </si>
  <si>
    <t xml:space="preserve">H3K36me3</t>
  </si>
  <si>
    <t xml:space="preserve">Exclude</t>
  </si>
  <si>
    <t xml:space="preserve">No gene-body enrichment; 21% aligned</t>
  </si>
  <si>
    <t xml:space="preserve">cfEpi_3</t>
  </si>
  <si>
    <t xml:space="preserve">IgG</t>
  </si>
  <si>
    <t xml:space="preserve">Clean background; 24% aligned</t>
  </si>
  <si>
    <t xml:space="preserve">cfEpi_4</t>
  </si>
  <si>
    <t xml:space="preserve">Chen</t>
  </si>
  <si>
    <t xml:space="preserve">Chen prep comparable to HPL</t>
  </si>
  <si>
    <t xml:space="preserve">cfEpi_5</t>
  </si>
  <si>
    <t xml:space="preserve">No gene-body enrichment</t>
  </si>
  <si>
    <t xml:space="preserve">cfEpi_6</t>
  </si>
  <si>
    <t xml:space="preserve">Clean background</t>
  </si>
  <si>
    <t xml:space="preserve">cfEpi_7</t>
  </si>
  <si>
    <t xml:space="preserve">H3K4me3</t>
  </si>
  <si>
    <t xml:space="preserve">cfEpi_8</t>
  </si>
  <si>
    <t xml:space="preserve">cfEpi_9</t>
  </si>
  <si>
    <t xml:space="preserve">H3K9ac</t>
  </si>
  <si>
    <t xml:space="preserve">Relabelled (was recorded as H3K36me3); few peaks at this depth</t>
  </si>
  <si>
    <t xml:space="preserve">cfEpi_10</t>
  </si>
  <si>
    <t xml:space="preserve">ref</t>
  </si>
  <si>
    <t xml:space="preserve">Reference for active/silent genes</t>
  </si>
  <si>
    <t xml:space="preserve">cfEpi_11</t>
  </si>
  <si>
    <t xml:space="preserve">Could benefit from deeper sequencing</t>
  </si>
  <si>
    <t xml:space="preserve">cfEpi_12</t>
  </si>
  <si>
    <t xml:space="preserve">Working H3K36me3</t>
  </si>
  <si>
    <t xml:space="preserve">cfEpi_13</t>
  </si>
  <si>
    <t xml:space="preserve">cfEpi_14</t>
  </si>
  <si>
    <t xml:space="preserve">Clean background; low complexity</t>
  </si>
  <si>
    <t xml:space="preserve">cfEpi_15</t>
  </si>
  <si>
    <t xml:space="preserve">HC8</t>
  </si>
  <si>
    <t xml:space="preserve">Strongest H3K4me3; low complexity</t>
  </si>
  <si>
    <t xml:space="preserve">cfEpi_16</t>
  </si>
  <si>
    <t xml:space="preserve">Low complexity</t>
  </si>
  <si>
    <t xml:space="preserve">cfEpi_17</t>
  </si>
  <si>
    <t xml:space="preserve">Caution</t>
  </si>
  <si>
    <t xml:space="preserve">Gene-body enrichment confirmed in log2(H3K36me3/IgG) profile; weaker than cfEpi_12; r=0.78 with cfEpi_12</t>
  </si>
  <si>
    <t xml:space="preserve">cfEpi_18</t>
  </si>
  <si>
    <t xml:space="preserve">cfEpi_19</t>
  </si>
  <si>
    <t xml:space="preserve">cfEpi_20</t>
  </si>
  <si>
    <t xml:space="preserve">HC9</t>
  </si>
  <si>
    <t xml:space="preserve">High dm6 (HC9)</t>
  </si>
  <si>
    <t xml:space="preserve">cfEpi_21</t>
  </si>
  <si>
    <t xml:space="preserve">Few peaks; high dm6</t>
  </si>
  <si>
    <t xml:space="preserve">cfEpi_22</t>
  </si>
  <si>
    <t xml:space="preserve">Gene-body enrichment confirmed in log2(H3K36me3/IgG) profile; weakest donor; r=0.74–0.77 with cfEpi_12/17</t>
  </si>
  <si>
    <t xml:space="preserve">cfEpi_23</t>
  </si>
  <si>
    <t xml:space="preserve">cfEpi_24</t>
  </si>
  <si>
    <t xml:space="preserve">Promoter-like signal: contaminated IgG; lowest complexity</t>
  </si>
  <si>
    <t xml:space="preserve">Summary by mark (libraries marked "Use" or "Caution"; excluded libraries left out)</t>
  </si>
  <si>
    <t xml:space="preserve">Libraries used</t>
  </si>
  <si>
    <t xml:space="preserve">Mean TSS/flank</t>
  </si>
  <si>
    <t xml:space="preserve">Mean body active/silent</t>
  </si>
  <si>
    <t xml:space="preserve">Mean unique fragments</t>
  </si>
  <si>
    <t xml:space="preserve">Mean duplicates %</t>
  </si>
  <si>
    <t xml:space="preserve">Excluded</t>
  </si>
  <si>
    <t xml:space="preserve">Overall assessment</t>
  </si>
  <si>
    <t xml:space="preserve">Mean FRiP %</t>
  </si>
  <si>
    <t xml:space="preserve">Mean % reads at TSS</t>
  </si>
  <si>
    <t xml:space="preserve">Mean % reads in gene bodies</t>
  </si>
  <si>
    <t xml:space="preserve">Most robust: strong in all 3 donors; use as positive control every run</t>
  </si>
  <si>
    <t xml:space="preserve">Reliable in all 6; new conjugate (cfEpi_1) best; HPL ≈ Chen</t>
  </si>
  <si>
    <t xml:space="preserve">Reliable and consistent in all donors</t>
  </si>
  <si>
    <t xml:space="preserve">Inconsistent: cfEpi_12 works, 17/22 borderline, 2/5 failed; optimise beads/antibody amount</t>
  </si>
  <si>
    <t xml:space="preserve">Clean except cfEpi_24 (contaminated); include an IgG per donor/batch</t>
  </si>
  <si>
    <t xml:space="preserve">Summary by batch</t>
  </si>
  <si>
    <t xml:space="preserve">Batch</t>
  </si>
  <si>
    <t xml:space="preserve">Libraries</t>
  </si>
  <si>
    <t xml:space="preserve">Mean aligned %</t>
  </si>
  <si>
    <t xml:space="preserve">Mean dm6 fraction</t>
  </si>
  <si>
    <t xml:space="preserve">Notes</t>
  </si>
  <si>
    <t xml:space="preserve">cfEpi_1–6 (HC1, re-cleaned)</t>
  </si>
  <si>
    <t xml:space="preserve">Low alignment from foreign (non-human, non-E. coli) DNA; source under investigation</t>
  </si>
  <si>
    <t xml:space="preserve">cfEpi_7–14 (HC1)</t>
  </si>
  <si>
    <t xml:space="preserve">Best alignment; best single H3K36me3 (cfEpi_12)</t>
  </si>
  <si>
    <t xml:space="preserve">cfEpi_15–24 (HC8, HC9)</t>
  </si>
  <si>
    <t xml:space="preserve">Strongest H3K4me3; H3K36me3 near-pass in both donors; HC9 high dm6; IgG cfEpi_24 contaminated</t>
  </si>
  <si>
    <t xml:space="preserve">Comparison with Chen et al., Nature 2026 (Extended Data figure: cf-EpiTracing vs cfChIP by plasma volume)</t>
  </si>
  <si>
    <t xml:space="preserve">Chen et al. values read from the published figure (small print; approximate). "Reads" as labelled in the figure. This study: 200 µl plasma, usable libraries; reads = unique human reads after filtering (2 × unique fragments). DOI 10.1038/s41586-026-10224-0</t>
  </si>
  <si>
    <t xml:space="preserve">Source</t>
  </si>
  <si>
    <t xml:space="preserve">Plasma volume</t>
  </si>
  <si>
    <t xml:space="preserve">Reads (M)</t>
  </si>
  <si>
    <t xml:space="preserve">Peaks</t>
  </si>
  <si>
    <t xml:space="preserve">Chen et al. cf-EpiTracing</t>
  </si>
  <si>
    <t xml:space="preserve">25 µl</t>
  </si>
  <si>
    <t xml:space="preserve">50 µl</t>
  </si>
  <si>
    <t xml:space="preserve">100 µl</t>
  </si>
  <si>
    <t xml:space="preserve">200 µl</t>
  </si>
  <si>
    <t xml:space="preserve">500 µl</t>
  </si>
  <si>
    <t xml:space="preserve">1,000 µl</t>
  </si>
  <si>
    <t xml:space="preserve">Chen et al. cfChIP (Sadeh et al.)</t>
  </si>
  <si>
    <t xml:space="preserve">This study cfEpi_7 (HC1)</t>
  </si>
  <si>
    <t xml:space="preserve">This study cfEpi_10 (HC1)</t>
  </si>
  <si>
    <t xml:space="preserve">This study cfEpi_15 (HC8)</t>
  </si>
  <si>
    <t xml:space="preserve">This study cfEpi_20 (HC9)</t>
  </si>
  <si>
    <t xml:space="preserve">This study cfEpi_1 (HC1)</t>
  </si>
  <si>
    <t xml:space="preserve">This study cfEpi_4 (HC1)</t>
  </si>
  <si>
    <t xml:space="preserve">This study cfEpi_8 (HC1)</t>
  </si>
  <si>
    <t xml:space="preserve">This study cfEpi_11 (HC1)</t>
  </si>
  <si>
    <t xml:space="preserve">This study cfEpi_16 (HC8)</t>
  </si>
  <si>
    <t xml:space="preserve">This study cfEpi_21 (HC9)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</si>
</sst>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"/>
    <numFmt numFmtId="167" formatCode="0.0%"/>
    <numFmt numFmtId="168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2EFDA"/>
        <bgColor rgb="FFDDEBF7"/>
      </patternFill>
    </fill>
    <fill>
      <patternFill patternType="solid">
        <fgColor rgb="FFF8CBAD"/>
        <bgColor rgb="FFFFF2CC"/>
      </patternFill>
    </fill>
    <fill>
      <patternFill patternType="solid">
        <fgColor rgb="FFFFF2CC"/>
        <bgColor rgb="FFE2EFDA"/>
      </patternFill>
    </fill>
    <fill>
      <patternFill patternType="solid">
        <fgColor rgb="FFDDEBF7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7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12" min="9" style="0" width="9"/>
    <col collapsed="false" customWidth="true" hidden="false" outlineLevel="0" max="15" min="13" style="0" width="10"/>
    <col collapsed="false" customWidth="true" hidden="false" outlineLevel="0" max="17" min="16" style="0" width="8"/>
    <col collapsed="false" customWidth="true" hidden="false" outlineLevel="0" max="19" min="18" style="0" width="10"/>
    <col collapsed="false" customWidth="true" hidden="false" outlineLevel="0" max="20" min="20" style="0" width="9"/>
    <col collapsed="false" customWidth="true" hidden="false" outlineLevel="0" max="21" min="21" style="0" width="55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</row>
    <row r="5" customFormat="false" ht="15" hidden="false" customHeight="false" outlineLevel="0" collapsed="false">
      <c r="A5" s="4" t="s">
        <v>23</v>
      </c>
      <c r="B5" s="4" t="s">
        <v>24</v>
      </c>
      <c r="C5" s="4" t="s">
        <v>25</v>
      </c>
      <c r="D5" s="4" t="s">
        <v>26</v>
      </c>
      <c r="E5" s="5" t="n">
        <v>58251150</v>
      </c>
      <c r="F5" s="6" t="n">
        <v>62.43</v>
      </c>
      <c r="G5" s="6" t="n">
        <v>93.9</v>
      </c>
      <c r="H5" s="5" t="n">
        <v>1607440</v>
      </c>
      <c r="I5" s="7" t="n">
        <v>0.032</v>
      </c>
      <c r="J5" s="8" t="n">
        <v>5.39</v>
      </c>
      <c r="K5" s="8" t="n">
        <v>12.73</v>
      </c>
      <c r="L5" s="8" t="n">
        <v>2.01</v>
      </c>
      <c r="M5" s="8" t="n">
        <v>1.77</v>
      </c>
      <c r="N5" s="8" t="n">
        <v>15.14</v>
      </c>
      <c r="O5" s="5" t="n">
        <v>60132</v>
      </c>
      <c r="P5" s="6" t="n">
        <v>52.1</v>
      </c>
      <c r="Q5" s="6" t="n">
        <v>42.7</v>
      </c>
      <c r="R5" s="6" t="n">
        <v>12.2</v>
      </c>
      <c r="S5" s="6" t="n">
        <v>61.4</v>
      </c>
      <c r="T5" s="9" t="s">
        <v>27</v>
      </c>
      <c r="U5" s="4" t="s">
        <v>28</v>
      </c>
    </row>
    <row r="6" customFormat="false" ht="15" hidden="false" customHeight="false" outlineLevel="0" collapsed="false">
      <c r="A6" s="4" t="s">
        <v>29</v>
      </c>
      <c r="B6" s="4" t="s">
        <v>24</v>
      </c>
      <c r="C6" s="4" t="s">
        <v>25</v>
      </c>
      <c r="D6" s="4" t="s">
        <v>30</v>
      </c>
      <c r="E6" s="5" t="n">
        <v>33995549</v>
      </c>
      <c r="F6" s="6" t="n">
        <v>21.03</v>
      </c>
      <c r="G6" s="6" t="n">
        <v>88.1</v>
      </c>
      <c r="H6" s="5" t="n">
        <v>583842</v>
      </c>
      <c r="I6" s="7" t="n">
        <v>0.006</v>
      </c>
      <c r="J6" s="8" t="n">
        <v>1.4</v>
      </c>
      <c r="K6" s="8" t="n">
        <v>2.01</v>
      </c>
      <c r="L6" s="8" t="n">
        <v>1.42</v>
      </c>
      <c r="M6" s="8" t="n">
        <v>0.95</v>
      </c>
      <c r="N6" s="8" t="n">
        <v>1.45</v>
      </c>
      <c r="O6" s="5" t="n">
        <v>17509</v>
      </c>
      <c r="P6" s="6" t="n">
        <v>47.7</v>
      </c>
      <c r="Q6" s="6" t="n">
        <v>11.1</v>
      </c>
      <c r="R6" s="6" t="n">
        <v>2.6</v>
      </c>
      <c r="S6" s="6" t="n">
        <v>49.6</v>
      </c>
      <c r="T6" s="10" t="s">
        <v>31</v>
      </c>
      <c r="U6" s="4" t="s">
        <v>32</v>
      </c>
    </row>
    <row r="7" customFormat="false" ht="15" hidden="false" customHeight="false" outlineLevel="0" collapsed="false">
      <c r="A7" s="4" t="s">
        <v>33</v>
      </c>
      <c r="B7" s="4" t="s">
        <v>24</v>
      </c>
      <c r="C7" s="4" t="s">
        <v>25</v>
      </c>
      <c r="D7" s="4" t="s">
        <v>34</v>
      </c>
      <c r="E7" s="5" t="n">
        <v>14717342</v>
      </c>
      <c r="F7" s="6" t="n">
        <v>23.9</v>
      </c>
      <c r="G7" s="6" t="n">
        <v>73.3</v>
      </c>
      <c r="H7" s="5" t="n">
        <v>705971</v>
      </c>
      <c r="I7" s="7" t="n">
        <v>0.002</v>
      </c>
      <c r="J7" s="8" t="n">
        <v>1.23</v>
      </c>
      <c r="K7" s="8" t="n">
        <v>1.67</v>
      </c>
      <c r="L7" s="8" t="n">
        <v>1.33</v>
      </c>
      <c r="M7" s="8" t="n">
        <v>0.98</v>
      </c>
      <c r="N7" s="8" t="n">
        <v>1.3</v>
      </c>
      <c r="O7" s="5" t="n">
        <v>15875</v>
      </c>
      <c r="P7" s="6" t="n">
        <v>46.4</v>
      </c>
      <c r="Q7" s="6" t="n">
        <v>7.9</v>
      </c>
      <c r="R7" s="6" t="n">
        <v>2.1</v>
      </c>
      <c r="S7" s="6" t="n">
        <v>48.8</v>
      </c>
      <c r="T7" s="9" t="s">
        <v>27</v>
      </c>
      <c r="U7" s="4" t="s">
        <v>35</v>
      </c>
    </row>
    <row r="8" customFormat="false" ht="15" hidden="false" customHeight="false" outlineLevel="0" collapsed="false">
      <c r="A8" s="4" t="s">
        <v>36</v>
      </c>
      <c r="B8" s="4" t="s">
        <v>24</v>
      </c>
      <c r="C8" s="4" t="s">
        <v>37</v>
      </c>
      <c r="D8" s="4" t="s">
        <v>26</v>
      </c>
      <c r="E8" s="5" t="n">
        <v>21471046</v>
      </c>
      <c r="F8" s="6" t="n">
        <v>46.08</v>
      </c>
      <c r="G8" s="6" t="n">
        <v>86</v>
      </c>
      <c r="H8" s="5" t="n">
        <v>1061696</v>
      </c>
      <c r="I8" s="7" t="n">
        <v>0.017</v>
      </c>
      <c r="J8" s="8" t="n">
        <v>4.79</v>
      </c>
      <c r="K8" s="8" t="n">
        <v>10.61</v>
      </c>
      <c r="L8" s="8" t="n">
        <v>1.87</v>
      </c>
      <c r="M8" s="8" t="n">
        <v>1.59</v>
      </c>
      <c r="N8" s="8" t="n">
        <v>12.6</v>
      </c>
      <c r="O8" s="5" t="n">
        <v>40608</v>
      </c>
      <c r="P8" s="6" t="n">
        <v>50.5</v>
      </c>
      <c r="Q8" s="6" t="n">
        <v>27.9</v>
      </c>
      <c r="R8" s="6" t="n">
        <v>10</v>
      </c>
      <c r="S8" s="6" t="n">
        <v>58.1</v>
      </c>
      <c r="T8" s="9" t="s">
        <v>27</v>
      </c>
      <c r="U8" s="4" t="s">
        <v>38</v>
      </c>
    </row>
    <row r="9" customFormat="false" ht="15" hidden="false" customHeight="false" outlineLevel="0" collapsed="false">
      <c r="A9" s="4" t="s">
        <v>39</v>
      </c>
      <c r="B9" s="4" t="s">
        <v>24</v>
      </c>
      <c r="C9" s="4" t="s">
        <v>37</v>
      </c>
      <c r="D9" s="4" t="s">
        <v>30</v>
      </c>
      <c r="E9" s="5" t="n">
        <v>8104510</v>
      </c>
      <c r="F9" s="6" t="n">
        <v>21.41</v>
      </c>
      <c r="G9" s="6" t="n">
        <v>72.8</v>
      </c>
      <c r="H9" s="5" t="n">
        <v>343618</v>
      </c>
      <c r="I9" s="7" t="n">
        <v>0.013</v>
      </c>
      <c r="J9" s="8" t="n">
        <v>1.33</v>
      </c>
      <c r="K9" s="8" t="n">
        <v>1.7</v>
      </c>
      <c r="L9" s="8" t="n">
        <v>1.31</v>
      </c>
      <c r="M9" s="8" t="n">
        <v>1.06</v>
      </c>
      <c r="N9" s="8" t="n">
        <v>1.42</v>
      </c>
      <c r="O9" s="5" t="n">
        <v>6999</v>
      </c>
      <c r="P9" s="6" t="n">
        <v>45.1</v>
      </c>
      <c r="Q9" s="6" t="n">
        <v>7.4</v>
      </c>
      <c r="R9" s="6" t="n">
        <v>2.5</v>
      </c>
      <c r="S9" s="6" t="n">
        <v>48.8</v>
      </c>
      <c r="T9" s="10" t="s">
        <v>31</v>
      </c>
      <c r="U9" s="4" t="s">
        <v>40</v>
      </c>
    </row>
    <row r="10" customFormat="false" ht="15" hidden="false" customHeight="false" outlineLevel="0" collapsed="false">
      <c r="A10" s="4" t="s">
        <v>41</v>
      </c>
      <c r="B10" s="4" t="s">
        <v>24</v>
      </c>
      <c r="C10" s="4" t="s">
        <v>37</v>
      </c>
      <c r="D10" s="4" t="s">
        <v>34</v>
      </c>
      <c r="E10" s="5" t="n">
        <v>16656297</v>
      </c>
      <c r="F10" s="6" t="n">
        <v>28.11</v>
      </c>
      <c r="G10" s="6" t="n">
        <v>63.1</v>
      </c>
      <c r="H10" s="5" t="n">
        <v>1360636</v>
      </c>
      <c r="I10" s="7" t="n">
        <v>0.001</v>
      </c>
      <c r="J10" s="8" t="n">
        <v>1.41</v>
      </c>
      <c r="K10" s="8" t="n">
        <v>1.98</v>
      </c>
      <c r="L10" s="8" t="n">
        <v>1.39</v>
      </c>
      <c r="M10" s="8" t="n">
        <v>0.99</v>
      </c>
      <c r="N10" s="8" t="n">
        <v>1.41</v>
      </c>
      <c r="O10" s="5" t="n">
        <v>3129</v>
      </c>
      <c r="P10" s="6" t="n">
        <v>48.9</v>
      </c>
      <c r="Q10" s="6" t="n">
        <v>1.5</v>
      </c>
      <c r="R10" s="6" t="n">
        <v>2.4</v>
      </c>
      <c r="S10" s="6" t="n">
        <v>49.6</v>
      </c>
      <c r="T10" s="9" t="s">
        <v>27</v>
      </c>
      <c r="U10" s="4" t="s">
        <v>42</v>
      </c>
    </row>
    <row r="11" customFormat="false" ht="15" hidden="false" customHeight="false" outlineLevel="0" collapsed="false">
      <c r="A11" s="4" t="s">
        <v>43</v>
      </c>
      <c r="B11" s="4" t="s">
        <v>24</v>
      </c>
      <c r="C11" s="4" t="s">
        <v>25</v>
      </c>
      <c r="D11" s="4" t="s">
        <v>44</v>
      </c>
      <c r="E11" s="5" t="n">
        <v>8488580</v>
      </c>
      <c r="F11" s="6" t="n">
        <v>96.1</v>
      </c>
      <c r="G11" s="6" t="n">
        <v>72.2</v>
      </c>
      <c r="H11" s="5" t="n">
        <v>1663279</v>
      </c>
      <c r="I11" s="7" t="n">
        <v>0.03</v>
      </c>
      <c r="J11" s="8" t="n">
        <v>8.67</v>
      </c>
      <c r="K11" s="8" t="n">
        <v>11.52</v>
      </c>
      <c r="L11" s="8" t="n">
        <v>1.17</v>
      </c>
      <c r="M11" s="8" t="n">
        <v>1.1</v>
      </c>
      <c r="N11" s="8" t="n">
        <v>24.62</v>
      </c>
      <c r="O11" s="5" t="n">
        <v>10587</v>
      </c>
      <c r="P11" s="6" t="n">
        <v>50.4</v>
      </c>
      <c r="Q11" s="6" t="n">
        <v>32</v>
      </c>
      <c r="R11" s="6" t="n">
        <v>26.8</v>
      </c>
      <c r="S11" s="6" t="n">
        <v>57.5</v>
      </c>
      <c r="T11" s="9" t="s">
        <v>27</v>
      </c>
      <c r="U11" s="4"/>
    </row>
    <row r="12" customFormat="false" ht="15" hidden="false" customHeight="false" outlineLevel="0" collapsed="false">
      <c r="A12" s="4" t="s">
        <v>45</v>
      </c>
      <c r="B12" s="4" t="s">
        <v>24</v>
      </c>
      <c r="C12" s="4" t="s">
        <v>25</v>
      </c>
      <c r="D12" s="4" t="s">
        <v>26</v>
      </c>
      <c r="E12" s="5" t="n">
        <v>7225322</v>
      </c>
      <c r="F12" s="6" t="n">
        <v>93.38</v>
      </c>
      <c r="G12" s="6" t="n">
        <v>85.9</v>
      </c>
      <c r="H12" s="5" t="n">
        <v>711171</v>
      </c>
      <c r="I12" s="7" t="n">
        <v>0.011</v>
      </c>
      <c r="J12" s="8" t="n">
        <v>4.46</v>
      </c>
      <c r="K12" s="8" t="n">
        <v>6.71</v>
      </c>
      <c r="L12" s="8" t="n">
        <v>1.35</v>
      </c>
      <c r="M12" s="8" t="n">
        <v>1.23</v>
      </c>
      <c r="N12" s="8" t="n">
        <v>10.16</v>
      </c>
      <c r="O12" s="5" t="n">
        <v>17285</v>
      </c>
      <c r="P12" s="6" t="n">
        <v>47.2</v>
      </c>
      <c r="Q12" s="6" t="n">
        <v>15.3</v>
      </c>
      <c r="R12" s="6" t="n">
        <v>10.4</v>
      </c>
      <c r="S12" s="6" t="n">
        <v>53.9</v>
      </c>
      <c r="T12" s="9" t="s">
        <v>27</v>
      </c>
      <c r="U12" s="4"/>
    </row>
    <row r="13" customFormat="false" ht="15" hidden="false" customHeight="false" outlineLevel="0" collapsed="false">
      <c r="A13" s="4" t="s">
        <v>46</v>
      </c>
      <c r="B13" s="4" t="s">
        <v>24</v>
      </c>
      <c r="C13" s="4" t="s">
        <v>25</v>
      </c>
      <c r="D13" s="4" t="s">
        <v>47</v>
      </c>
      <c r="E13" s="5" t="n">
        <v>5114468</v>
      </c>
      <c r="F13" s="6" t="n">
        <v>88.75</v>
      </c>
      <c r="G13" s="6" t="n">
        <v>78.5</v>
      </c>
      <c r="H13" s="5" t="n">
        <v>688794</v>
      </c>
      <c r="I13" s="7" t="n">
        <v>0.057</v>
      </c>
      <c r="J13" s="8" t="n">
        <v>4.01</v>
      </c>
      <c r="K13" s="8" t="n">
        <v>5.28</v>
      </c>
      <c r="L13" s="8" t="n">
        <v>1.2</v>
      </c>
      <c r="M13" s="8" t="n">
        <v>0.98</v>
      </c>
      <c r="N13" s="8" t="n">
        <v>6.08</v>
      </c>
      <c r="O13" s="5" t="n">
        <v>690</v>
      </c>
      <c r="P13" s="6" t="n">
        <v>47.1</v>
      </c>
      <c r="Q13" s="6" t="n">
        <v>12.7</v>
      </c>
      <c r="R13" s="6" t="n">
        <v>14.5</v>
      </c>
      <c r="S13" s="6" t="n">
        <v>53.4</v>
      </c>
      <c r="T13" s="9" t="s">
        <v>27</v>
      </c>
      <c r="U13" s="4" t="s">
        <v>48</v>
      </c>
    </row>
    <row r="14" customFormat="false" ht="15" hidden="false" customHeight="false" outlineLevel="0" collapsed="false">
      <c r="A14" s="4" t="s">
        <v>49</v>
      </c>
      <c r="B14" s="4" t="s">
        <v>24</v>
      </c>
      <c r="C14" s="4" t="s">
        <v>25</v>
      </c>
      <c r="D14" s="4" t="s">
        <v>44</v>
      </c>
      <c r="E14" s="5" t="n">
        <v>4073425</v>
      </c>
      <c r="F14" s="6" t="n">
        <v>79.53</v>
      </c>
      <c r="G14" s="6" t="n">
        <v>56.4</v>
      </c>
      <c r="H14" s="5" t="n">
        <v>1091616</v>
      </c>
      <c r="I14" s="7" t="n">
        <v>0.016</v>
      </c>
      <c r="J14" s="8" t="n">
        <v>15.78</v>
      </c>
      <c r="K14" s="8" t="n">
        <v>22.18</v>
      </c>
      <c r="L14" s="8" t="n">
        <v>1.09</v>
      </c>
      <c r="M14" s="8" t="n">
        <v>1.22</v>
      </c>
      <c r="N14" s="4" t="s">
        <v>50</v>
      </c>
      <c r="O14" s="5" t="n">
        <v>18787</v>
      </c>
      <c r="P14" s="6" t="n">
        <v>53.5</v>
      </c>
      <c r="Q14" s="6" t="n">
        <v>49.1</v>
      </c>
      <c r="R14" s="6" t="n">
        <v>36.3</v>
      </c>
      <c r="S14" s="6" t="n">
        <v>62.8</v>
      </c>
      <c r="T14" s="9" t="s">
        <v>27</v>
      </c>
      <c r="U14" s="4" t="s">
        <v>51</v>
      </c>
    </row>
    <row r="15" customFormat="false" ht="15" hidden="false" customHeight="false" outlineLevel="0" collapsed="false">
      <c r="A15" s="4" t="s">
        <v>52</v>
      </c>
      <c r="B15" s="4" t="s">
        <v>24</v>
      </c>
      <c r="C15" s="4" t="s">
        <v>25</v>
      </c>
      <c r="D15" s="4" t="s">
        <v>26</v>
      </c>
      <c r="E15" s="5" t="n">
        <v>5226253</v>
      </c>
      <c r="F15" s="6" t="n">
        <v>86.53</v>
      </c>
      <c r="G15" s="6" t="n">
        <v>57.5</v>
      </c>
      <c r="H15" s="5" t="n">
        <v>1563067</v>
      </c>
      <c r="I15" s="7" t="n">
        <v>0.003</v>
      </c>
      <c r="J15" s="8" t="n">
        <v>4.32</v>
      </c>
      <c r="K15" s="8" t="n">
        <v>6.75</v>
      </c>
      <c r="L15" s="8" t="n">
        <v>1.43</v>
      </c>
      <c r="M15" s="8" t="n">
        <v>1.17</v>
      </c>
      <c r="N15" s="8" t="n">
        <v>8.77</v>
      </c>
      <c r="O15" s="5" t="n">
        <v>51942</v>
      </c>
      <c r="P15" s="6" t="n">
        <v>49.6</v>
      </c>
      <c r="Q15" s="6" t="n">
        <v>19.7</v>
      </c>
      <c r="R15" s="6" t="n">
        <v>7.8</v>
      </c>
      <c r="S15" s="6" t="n">
        <v>52.7</v>
      </c>
      <c r="T15" s="9" t="s">
        <v>27</v>
      </c>
      <c r="U15" s="4" t="s">
        <v>53</v>
      </c>
    </row>
    <row r="16" customFormat="false" ht="15" hidden="false" customHeight="false" outlineLevel="0" collapsed="false">
      <c r="A16" s="4" t="s">
        <v>54</v>
      </c>
      <c r="B16" s="4" t="s">
        <v>24</v>
      </c>
      <c r="C16" s="4" t="s">
        <v>25</v>
      </c>
      <c r="D16" s="4" t="s">
        <v>30</v>
      </c>
      <c r="E16" s="5" t="n">
        <v>37008528</v>
      </c>
      <c r="F16" s="6" t="n">
        <v>84.43</v>
      </c>
      <c r="G16" s="6" t="n">
        <v>81.8</v>
      </c>
      <c r="H16" s="5" t="n">
        <v>4407708</v>
      </c>
      <c r="I16" s="7" t="n">
        <v>0.014</v>
      </c>
      <c r="J16" s="8" t="n">
        <v>1.18</v>
      </c>
      <c r="K16" s="8" t="n">
        <v>2.12</v>
      </c>
      <c r="L16" s="8" t="n">
        <v>2.2</v>
      </c>
      <c r="M16" s="8" t="n">
        <v>2.4</v>
      </c>
      <c r="N16" s="8" t="n">
        <v>2.58</v>
      </c>
      <c r="O16" s="5" t="n">
        <v>63460</v>
      </c>
      <c r="P16" s="6" t="n">
        <v>52.1</v>
      </c>
      <c r="Q16" s="6" t="n">
        <v>19.5</v>
      </c>
      <c r="R16" s="6" t="n">
        <v>4.4</v>
      </c>
      <c r="S16" s="6" t="n">
        <v>66.9</v>
      </c>
      <c r="T16" s="9" t="s">
        <v>27</v>
      </c>
      <c r="U16" s="4" t="s">
        <v>55</v>
      </c>
    </row>
    <row r="17" customFormat="false" ht="15" hidden="false" customHeight="false" outlineLevel="0" collapsed="false">
      <c r="A17" s="4" t="s">
        <v>56</v>
      </c>
      <c r="B17" s="4" t="s">
        <v>24</v>
      </c>
      <c r="C17" s="4" t="s">
        <v>25</v>
      </c>
      <c r="D17" s="4" t="s">
        <v>47</v>
      </c>
      <c r="E17" s="5" t="n">
        <v>3431114</v>
      </c>
      <c r="F17" s="6" t="n">
        <v>58.29</v>
      </c>
      <c r="G17" s="6" t="n">
        <v>64.9</v>
      </c>
      <c r="H17" s="5" t="n">
        <v>547566</v>
      </c>
      <c r="I17" s="7" t="n">
        <v>0.005</v>
      </c>
      <c r="J17" s="8" t="n">
        <v>4.34</v>
      </c>
      <c r="K17" s="8" t="n">
        <v>6.01</v>
      </c>
      <c r="L17" s="8" t="n">
        <v>1.29</v>
      </c>
      <c r="M17" s="8" t="n">
        <v>0.97</v>
      </c>
      <c r="N17" s="8" t="n">
        <v>6.67</v>
      </c>
      <c r="O17" s="5" t="n">
        <v>10725</v>
      </c>
      <c r="P17" s="6" t="n">
        <v>47.7</v>
      </c>
      <c r="Q17" s="6" t="n">
        <v>8.9</v>
      </c>
      <c r="R17" s="6" t="n">
        <v>7.7</v>
      </c>
      <c r="S17" s="6" t="n">
        <v>52</v>
      </c>
      <c r="T17" s="9" t="s">
        <v>27</v>
      </c>
      <c r="U17" s="4"/>
    </row>
    <row r="18" customFormat="false" ht="15" hidden="false" customHeight="false" outlineLevel="0" collapsed="false">
      <c r="A18" s="4" t="s">
        <v>57</v>
      </c>
      <c r="B18" s="4" t="s">
        <v>24</v>
      </c>
      <c r="C18" s="4" t="s">
        <v>25</v>
      </c>
      <c r="D18" s="4" t="s">
        <v>34</v>
      </c>
      <c r="E18" s="5" t="n">
        <v>8603181</v>
      </c>
      <c r="F18" s="6" t="n">
        <v>54.69</v>
      </c>
      <c r="G18" s="6" t="n">
        <v>90.4</v>
      </c>
      <c r="H18" s="5" t="n">
        <v>304180</v>
      </c>
      <c r="I18" s="7" t="n">
        <v>0.003</v>
      </c>
      <c r="J18" s="8" t="n">
        <v>1.56</v>
      </c>
      <c r="K18" s="8" t="n">
        <v>1.98</v>
      </c>
      <c r="L18" s="8" t="n">
        <v>1.24</v>
      </c>
      <c r="M18" s="8" t="n">
        <v>0.99</v>
      </c>
      <c r="N18" s="8" t="n">
        <v>2.14</v>
      </c>
      <c r="O18" s="5" t="n">
        <v>4260</v>
      </c>
      <c r="P18" s="6" t="n">
        <v>43.6</v>
      </c>
      <c r="Q18" s="6" t="n">
        <v>6.8</v>
      </c>
      <c r="R18" s="6" t="n">
        <v>4.4</v>
      </c>
      <c r="S18" s="6" t="n">
        <v>49</v>
      </c>
      <c r="T18" s="9" t="s">
        <v>27</v>
      </c>
      <c r="U18" s="4" t="s">
        <v>58</v>
      </c>
    </row>
    <row r="19" customFormat="false" ht="15" hidden="false" customHeight="false" outlineLevel="0" collapsed="false">
      <c r="A19" s="4" t="s">
        <v>59</v>
      </c>
      <c r="B19" s="4" t="s">
        <v>60</v>
      </c>
      <c r="C19" s="4" t="s">
        <v>25</v>
      </c>
      <c r="D19" s="4" t="s">
        <v>44</v>
      </c>
      <c r="E19" s="5" t="n">
        <v>7132357</v>
      </c>
      <c r="F19" s="6" t="n">
        <v>53.29</v>
      </c>
      <c r="G19" s="6" t="n">
        <v>85</v>
      </c>
      <c r="H19" s="5" t="n">
        <v>432123</v>
      </c>
      <c r="I19" s="7" t="n">
        <v>0.019</v>
      </c>
      <c r="J19" s="8" t="n">
        <v>18.7</v>
      </c>
      <c r="K19" s="8" t="n">
        <v>32.7</v>
      </c>
      <c r="L19" s="8" t="n">
        <v>1.23</v>
      </c>
      <c r="M19" s="8" t="n">
        <v>0.95</v>
      </c>
      <c r="N19" s="8" t="n">
        <v>42.87</v>
      </c>
      <c r="O19" s="5" t="n">
        <v>13356</v>
      </c>
      <c r="P19" s="6" t="n">
        <v>52.7</v>
      </c>
      <c r="Q19" s="6" t="n">
        <v>36.3</v>
      </c>
      <c r="R19" s="6" t="n">
        <v>27.5</v>
      </c>
      <c r="S19" s="6" t="n">
        <v>60.1</v>
      </c>
      <c r="T19" s="9" t="s">
        <v>27</v>
      </c>
      <c r="U19" s="4" t="s">
        <v>61</v>
      </c>
    </row>
    <row r="20" customFormat="false" ht="15" hidden="false" customHeight="false" outlineLevel="0" collapsed="false">
      <c r="A20" s="4" t="s">
        <v>62</v>
      </c>
      <c r="B20" s="4" t="s">
        <v>60</v>
      </c>
      <c r="C20" s="4" t="s">
        <v>25</v>
      </c>
      <c r="D20" s="4" t="s">
        <v>26</v>
      </c>
      <c r="E20" s="5" t="n">
        <v>7532211</v>
      </c>
      <c r="F20" s="6" t="n">
        <v>54.94</v>
      </c>
      <c r="G20" s="6" t="n">
        <v>87.1</v>
      </c>
      <c r="H20" s="5" t="n">
        <v>394988</v>
      </c>
      <c r="I20" s="7" t="n">
        <v>0.019</v>
      </c>
      <c r="J20" s="8" t="n">
        <v>4.06</v>
      </c>
      <c r="K20" s="8" t="n">
        <v>7.47</v>
      </c>
      <c r="L20" s="8" t="n">
        <v>1.65</v>
      </c>
      <c r="M20" s="8" t="n">
        <v>1.25</v>
      </c>
      <c r="N20" s="8" t="n">
        <v>7.05</v>
      </c>
      <c r="O20" s="5" t="n">
        <v>7834</v>
      </c>
      <c r="P20" s="6" t="n">
        <v>47.8</v>
      </c>
      <c r="Q20" s="6" t="n">
        <v>7.6</v>
      </c>
      <c r="R20" s="6" t="n">
        <v>7.5</v>
      </c>
      <c r="S20" s="6" t="n">
        <v>55.6</v>
      </c>
      <c r="T20" s="9" t="s">
        <v>27</v>
      </c>
      <c r="U20" s="4" t="s">
        <v>63</v>
      </c>
    </row>
    <row r="21" customFormat="false" ht="15" hidden="false" customHeight="false" outlineLevel="0" collapsed="false">
      <c r="A21" s="4" t="s">
        <v>64</v>
      </c>
      <c r="B21" s="4" t="s">
        <v>60</v>
      </c>
      <c r="C21" s="4" t="s">
        <v>25</v>
      </c>
      <c r="D21" s="4" t="s">
        <v>30</v>
      </c>
      <c r="E21" s="5" t="n">
        <v>13677919</v>
      </c>
      <c r="F21" s="6" t="n">
        <v>87.4</v>
      </c>
      <c r="G21" s="6" t="n">
        <v>57.4</v>
      </c>
      <c r="H21" s="5" t="n">
        <v>4195353</v>
      </c>
      <c r="I21" s="7" t="n">
        <v>0.007</v>
      </c>
      <c r="J21" s="8" t="n">
        <v>0.83</v>
      </c>
      <c r="K21" s="8" t="n">
        <v>1.47</v>
      </c>
      <c r="L21" s="8" t="n">
        <v>2.03</v>
      </c>
      <c r="M21" s="8" t="n">
        <v>1.72</v>
      </c>
      <c r="N21" s="8" t="n">
        <v>1.23</v>
      </c>
      <c r="O21" s="5" t="n">
        <v>30940</v>
      </c>
      <c r="P21" s="6" t="n">
        <v>52.9</v>
      </c>
      <c r="Q21" s="6" t="n">
        <v>6.7</v>
      </c>
      <c r="R21" s="6" t="n">
        <v>2.1</v>
      </c>
      <c r="S21" s="6" t="n">
        <v>59.6</v>
      </c>
      <c r="T21" s="11" t="s">
        <v>65</v>
      </c>
      <c r="U21" s="4" t="s">
        <v>66</v>
      </c>
    </row>
    <row r="22" customFormat="false" ht="15" hidden="false" customHeight="false" outlineLevel="0" collapsed="false">
      <c r="A22" s="4" t="s">
        <v>67</v>
      </c>
      <c r="B22" s="4" t="s">
        <v>60</v>
      </c>
      <c r="C22" s="4" t="s">
        <v>25</v>
      </c>
      <c r="D22" s="4" t="s">
        <v>47</v>
      </c>
      <c r="E22" s="5" t="n">
        <v>8359901</v>
      </c>
      <c r="F22" s="6" t="n">
        <v>41.02</v>
      </c>
      <c r="G22" s="6" t="n">
        <v>84.2</v>
      </c>
      <c r="H22" s="5" t="n">
        <v>391437</v>
      </c>
      <c r="I22" s="7" t="n">
        <v>0.008</v>
      </c>
      <c r="J22" s="8" t="n">
        <v>3.88</v>
      </c>
      <c r="K22" s="8" t="n">
        <v>7.19</v>
      </c>
      <c r="L22" s="8" t="n">
        <v>1.68</v>
      </c>
      <c r="M22" s="8" t="n">
        <v>1.19</v>
      </c>
      <c r="N22" s="8" t="n">
        <v>7.13</v>
      </c>
      <c r="O22" s="5" t="n">
        <v>6456</v>
      </c>
      <c r="P22" s="6" t="n">
        <v>48</v>
      </c>
      <c r="Q22" s="6" t="n">
        <v>7.1</v>
      </c>
      <c r="R22" s="6" t="n">
        <v>8.3</v>
      </c>
      <c r="S22" s="6" t="n">
        <v>55</v>
      </c>
      <c r="T22" s="9" t="s">
        <v>27</v>
      </c>
      <c r="U22" s="4" t="s">
        <v>63</v>
      </c>
    </row>
    <row r="23" customFormat="false" ht="15" hidden="false" customHeight="false" outlineLevel="0" collapsed="false">
      <c r="A23" s="4" t="s">
        <v>68</v>
      </c>
      <c r="B23" s="4" t="s">
        <v>60</v>
      </c>
      <c r="C23" s="4" t="s">
        <v>25</v>
      </c>
      <c r="D23" s="4" t="s">
        <v>34</v>
      </c>
      <c r="E23" s="5" t="n">
        <v>7875800</v>
      </c>
      <c r="F23" s="6" t="n">
        <v>60.23</v>
      </c>
      <c r="G23" s="6" t="n">
        <v>65.2</v>
      </c>
      <c r="H23" s="5" t="n">
        <v>1327781</v>
      </c>
      <c r="I23" s="7" t="n">
        <v>0.001</v>
      </c>
      <c r="J23" s="8" t="n">
        <v>1.36</v>
      </c>
      <c r="K23" s="8" t="n">
        <v>2.03</v>
      </c>
      <c r="L23" s="8" t="n">
        <v>1.49</v>
      </c>
      <c r="M23" s="8" t="n">
        <v>1</v>
      </c>
      <c r="N23" s="8" t="n">
        <v>1.43</v>
      </c>
      <c r="O23" s="5" t="n">
        <v>2764</v>
      </c>
      <c r="P23" s="6" t="n">
        <v>47.4</v>
      </c>
      <c r="Q23" s="6" t="n">
        <v>1.1</v>
      </c>
      <c r="R23" s="6" t="n">
        <v>2.3</v>
      </c>
      <c r="S23" s="6" t="n">
        <v>49.7</v>
      </c>
      <c r="T23" s="9" t="s">
        <v>27</v>
      </c>
      <c r="U23" s="4" t="s">
        <v>42</v>
      </c>
    </row>
    <row r="24" customFormat="false" ht="15" hidden="false" customHeight="false" outlineLevel="0" collapsed="false">
      <c r="A24" s="4" t="s">
        <v>69</v>
      </c>
      <c r="B24" s="4" t="s">
        <v>70</v>
      </c>
      <c r="C24" s="4" t="s">
        <v>25</v>
      </c>
      <c r="D24" s="4" t="s">
        <v>44</v>
      </c>
      <c r="E24" s="5" t="n">
        <v>8371828</v>
      </c>
      <c r="F24" s="6" t="n">
        <v>61.76</v>
      </c>
      <c r="G24" s="6" t="n">
        <v>67.4</v>
      </c>
      <c r="H24" s="5" t="n">
        <v>1130303</v>
      </c>
      <c r="I24" s="7" t="n">
        <v>0.12</v>
      </c>
      <c r="J24" s="8" t="n">
        <v>14.47</v>
      </c>
      <c r="K24" s="8" t="n">
        <v>17.86</v>
      </c>
      <c r="L24" s="8" t="n">
        <v>1.02</v>
      </c>
      <c r="M24" s="8" t="n">
        <v>1.13</v>
      </c>
      <c r="N24" s="8" t="n">
        <v>31.93</v>
      </c>
      <c r="O24" s="5" t="n">
        <v>22058</v>
      </c>
      <c r="P24" s="6" t="n">
        <v>51.4</v>
      </c>
      <c r="Q24" s="6" t="n">
        <v>40.8</v>
      </c>
      <c r="R24" s="6" t="n">
        <v>29.8</v>
      </c>
      <c r="S24" s="6" t="n">
        <v>59.7</v>
      </c>
      <c r="T24" s="9" t="s">
        <v>27</v>
      </c>
      <c r="U24" s="4" t="s">
        <v>71</v>
      </c>
    </row>
    <row r="25" customFormat="false" ht="15" hidden="false" customHeight="false" outlineLevel="0" collapsed="false">
      <c r="A25" s="4" t="s">
        <v>72</v>
      </c>
      <c r="B25" s="4" t="s">
        <v>70</v>
      </c>
      <c r="C25" s="4" t="s">
        <v>25</v>
      </c>
      <c r="D25" s="4" t="s">
        <v>26</v>
      </c>
      <c r="E25" s="5" t="n">
        <v>7716460</v>
      </c>
      <c r="F25" s="6" t="n">
        <v>64.61</v>
      </c>
      <c r="G25" s="6" t="n">
        <v>67</v>
      </c>
      <c r="H25" s="5" t="n">
        <v>1026433</v>
      </c>
      <c r="I25" s="7" t="n">
        <v>0.156</v>
      </c>
      <c r="J25" s="8" t="n">
        <v>3.67</v>
      </c>
      <c r="K25" s="8" t="n">
        <v>3.65</v>
      </c>
      <c r="L25" s="8" t="n">
        <v>0.93</v>
      </c>
      <c r="M25" s="8" t="n">
        <v>1.12</v>
      </c>
      <c r="N25" s="8" t="n">
        <v>6.6</v>
      </c>
      <c r="O25" s="5" t="n">
        <v>587</v>
      </c>
      <c r="P25" s="6" t="n">
        <v>47.8</v>
      </c>
      <c r="Q25" s="6" t="n">
        <v>28.2</v>
      </c>
      <c r="R25" s="6" t="n">
        <v>25.5</v>
      </c>
      <c r="S25" s="6" t="n">
        <v>57.3</v>
      </c>
      <c r="T25" s="9" t="s">
        <v>27</v>
      </c>
      <c r="U25" s="4" t="s">
        <v>73</v>
      </c>
    </row>
    <row r="26" customFormat="false" ht="15" hidden="false" customHeight="false" outlineLevel="0" collapsed="false">
      <c r="A26" s="4" t="s">
        <v>74</v>
      </c>
      <c r="B26" s="4" t="s">
        <v>70</v>
      </c>
      <c r="C26" s="4" t="s">
        <v>25</v>
      </c>
      <c r="D26" s="4" t="s">
        <v>30</v>
      </c>
      <c r="E26" s="5" t="n">
        <v>11179542</v>
      </c>
      <c r="F26" s="6" t="n">
        <v>88.44</v>
      </c>
      <c r="G26" s="6" t="n">
        <v>56.4</v>
      </c>
      <c r="H26" s="5" t="n">
        <v>2967850</v>
      </c>
      <c r="I26" s="7" t="n">
        <v>0.129</v>
      </c>
      <c r="J26" s="8" t="n">
        <v>1.06</v>
      </c>
      <c r="K26" s="8" t="n">
        <v>1.63</v>
      </c>
      <c r="L26" s="8" t="n">
        <v>1.74</v>
      </c>
      <c r="M26" s="8" t="n">
        <v>1.8</v>
      </c>
      <c r="N26" s="8" t="n">
        <v>1.85</v>
      </c>
      <c r="O26" s="5" t="n">
        <v>8134</v>
      </c>
      <c r="P26" s="6" t="n">
        <v>50.4</v>
      </c>
      <c r="Q26" s="6" t="n">
        <v>11.5</v>
      </c>
      <c r="R26" s="6" t="n">
        <v>9.5</v>
      </c>
      <c r="S26" s="6" t="n">
        <v>60.7</v>
      </c>
      <c r="T26" s="11" t="s">
        <v>65</v>
      </c>
      <c r="U26" s="4" t="s">
        <v>75</v>
      </c>
    </row>
    <row r="27" customFormat="false" ht="15" hidden="false" customHeight="false" outlineLevel="0" collapsed="false">
      <c r="A27" s="4" t="s">
        <v>76</v>
      </c>
      <c r="B27" s="4" t="s">
        <v>70</v>
      </c>
      <c r="C27" s="4" t="s">
        <v>25</v>
      </c>
      <c r="D27" s="4" t="s">
        <v>47</v>
      </c>
      <c r="E27" s="5" t="n">
        <v>7055235</v>
      </c>
      <c r="F27" s="6" t="n">
        <v>74.98</v>
      </c>
      <c r="G27" s="6" t="n">
        <v>70.8</v>
      </c>
      <c r="H27" s="5" t="n">
        <v>919267</v>
      </c>
      <c r="I27" s="7" t="n">
        <v>0.175</v>
      </c>
      <c r="J27" s="8" t="n">
        <v>4.15</v>
      </c>
      <c r="K27" s="8" t="n">
        <v>4.11</v>
      </c>
      <c r="L27" s="8" t="n">
        <v>0.92</v>
      </c>
      <c r="M27" s="8" t="n">
        <v>1.01</v>
      </c>
      <c r="N27" s="8" t="n">
        <v>5.78</v>
      </c>
      <c r="O27" s="5" t="n">
        <v>657</v>
      </c>
      <c r="P27" s="6" t="n">
        <v>47.4</v>
      </c>
      <c r="Q27" s="6" t="n">
        <v>28.2</v>
      </c>
      <c r="R27" s="6" t="n">
        <v>25.7</v>
      </c>
      <c r="S27" s="6" t="n">
        <v>56.7</v>
      </c>
      <c r="T27" s="9" t="s">
        <v>27</v>
      </c>
      <c r="U27" s="4" t="s">
        <v>73</v>
      </c>
    </row>
    <row r="28" customFormat="false" ht="15" hidden="false" customHeight="false" outlineLevel="0" collapsed="false">
      <c r="A28" s="4" t="s">
        <v>77</v>
      </c>
      <c r="B28" s="4" t="s">
        <v>70</v>
      </c>
      <c r="C28" s="4" t="s">
        <v>25</v>
      </c>
      <c r="D28" s="4" t="s">
        <v>34</v>
      </c>
      <c r="E28" s="5" t="n">
        <v>6074464</v>
      </c>
      <c r="F28" s="6" t="n">
        <v>51.58</v>
      </c>
      <c r="G28" s="6" t="n">
        <v>84.3</v>
      </c>
      <c r="H28" s="5" t="n">
        <v>220232</v>
      </c>
      <c r="I28" s="7" t="n">
        <v>0.281</v>
      </c>
      <c r="J28" s="8" t="n">
        <v>4.81</v>
      </c>
      <c r="K28" s="8" t="n">
        <v>6.78</v>
      </c>
      <c r="L28" s="8" t="n">
        <v>1.29</v>
      </c>
      <c r="M28" s="8" t="n">
        <v>1.11</v>
      </c>
      <c r="N28" s="8" t="n">
        <v>8.81</v>
      </c>
      <c r="O28" s="5" t="n">
        <v>2720</v>
      </c>
      <c r="P28" s="6" t="n">
        <v>46.1</v>
      </c>
      <c r="Q28" s="6" t="n">
        <v>14.8</v>
      </c>
      <c r="R28" s="6" t="n">
        <v>14.3</v>
      </c>
      <c r="S28" s="6" t="n">
        <v>54.9</v>
      </c>
      <c r="T28" s="10" t="s">
        <v>31</v>
      </c>
      <c r="U28" s="4" t="s">
        <v>78</v>
      </c>
    </row>
  </sheetData>
  <autoFilter ref="A4:U2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9"/>
    <col collapsed="false" customWidth="true" hidden="false" outlineLevel="0" max="8" min="8" style="0" width="62"/>
    <col collapsed="false" customWidth="true" hidden="false" outlineLevel="0" max="10" min="9" style="0" width="10"/>
    <col collapsed="false" customWidth="true" hidden="false" outlineLevel="0" max="11" min="11" style="0" width="11"/>
  </cols>
  <sheetData>
    <row r="1" customFormat="false" ht="16.15" hidden="false" customHeight="false" outlineLevel="0" collapsed="false">
      <c r="A1" s="1" t="s">
        <v>79</v>
      </c>
    </row>
    <row r="3" customFormat="false" ht="52.2" hidden="false" customHeight="false" outlineLevel="0" collapsed="false">
      <c r="A3" s="12" t="s">
        <v>5</v>
      </c>
      <c r="B3" s="12" t="s">
        <v>80</v>
      </c>
      <c r="C3" s="12" t="s">
        <v>81</v>
      </c>
      <c r="D3" s="12" t="s">
        <v>82</v>
      </c>
      <c r="E3" s="12" t="s">
        <v>83</v>
      </c>
      <c r="F3" s="12" t="s">
        <v>84</v>
      </c>
      <c r="G3" s="12" t="s">
        <v>85</v>
      </c>
      <c r="H3" s="12" t="s">
        <v>86</v>
      </c>
      <c r="I3" s="12" t="s">
        <v>87</v>
      </c>
      <c r="J3" s="12" t="s">
        <v>88</v>
      </c>
      <c r="K3" s="12" t="s">
        <v>89</v>
      </c>
    </row>
    <row r="4" customFormat="false" ht="15" hidden="false" customHeight="false" outlineLevel="0" collapsed="false">
      <c r="A4" s="13" t="s">
        <v>44</v>
      </c>
      <c r="B4" s="4" t="n">
        <f aca="false">COUNTIFS(Per_library!$D$5:$D$28,A4,Per_library!$T$5:$T$28,"&lt;&gt;Exclude")</f>
        <v>4</v>
      </c>
      <c r="C4" s="8" t="n">
        <f aca="false">AVERAGEIFS(Per_library!$J$5:$J$28,Per_library!$D$5:$D$28,A4,Per_library!$T$5:$T$28,"&lt;&gt;Exclude")</f>
        <v>14.405</v>
      </c>
      <c r="D4" s="8" t="n">
        <f aca="false">AVERAGEIFS(Per_library!$M$5:$M$28,Per_library!$D$5:$D$28,A4,Per_library!$T$5:$T$28,"&lt;&gt;Exclude")</f>
        <v>1.1</v>
      </c>
      <c r="E4" s="5" t="n">
        <f aca="false">AVERAGEIFS(Per_library!$H$5:$H$28,Per_library!$D$5:$D$28,A4,Per_library!$T$5:$T$28,"&lt;&gt;Exclude")</f>
        <v>1079330.25</v>
      </c>
      <c r="F4" s="6" t="n">
        <f aca="false">AVERAGEIFS(Per_library!$G$5:$G$28,Per_library!$D$5:$D$28,A4,Per_library!$T$5:$T$28,"&lt;&gt;Exclude")</f>
        <v>70.25</v>
      </c>
      <c r="G4" s="4" t="n">
        <f aca="false">COUNTIFS(Per_library!$D$5:$D$28,A4,Per_library!$T$5:$T$28,"Exclude")</f>
        <v>0</v>
      </c>
      <c r="H4" s="4" t="s">
        <v>90</v>
      </c>
      <c r="I4" s="6" t="n">
        <f aca="false">AVERAGEIFS(Per_library!$Q$5:$Q$28,Per_library!$D$5:$D$28,A4,Per_library!$T$5:$T$28,"&lt;&gt;Exclude")</f>
        <v>39.55</v>
      </c>
      <c r="J4" s="6" t="n">
        <f aca="false">AVERAGEIFS(Per_library!$R$5:$R$28,Per_library!$D$5:$D$28,A4,Per_library!$T$5:$T$28,"&lt;&gt;Exclude")</f>
        <v>30.1</v>
      </c>
      <c r="K4" s="6" t="n">
        <f aca="false">AVERAGEIFS(Per_library!$S$5:$S$28,Per_library!$D$5:$D$28,A4,Per_library!$T$5:$T$28,"&lt;&gt;Exclude")</f>
        <v>60.025</v>
      </c>
    </row>
    <row r="5" customFormat="false" ht="15" hidden="false" customHeight="false" outlineLevel="0" collapsed="false">
      <c r="A5" s="13" t="s">
        <v>26</v>
      </c>
      <c r="B5" s="4" t="n">
        <f aca="false">COUNTIFS(Per_library!$D$5:$D$28,A5,Per_library!$T$5:$T$28,"&lt;&gt;Exclude")</f>
        <v>6</v>
      </c>
      <c r="C5" s="8" t="n">
        <f aca="false">AVERAGEIFS(Per_library!$J$5:$J$28,Per_library!$D$5:$D$28,A5,Per_library!$T$5:$T$28,"&lt;&gt;Exclude")</f>
        <v>4.44833333333333</v>
      </c>
      <c r="D5" s="8" t="n">
        <f aca="false">AVERAGEIFS(Per_library!$M$5:$M$28,Per_library!$D$5:$D$28,A5,Per_library!$T$5:$T$28,"&lt;&gt;Exclude")</f>
        <v>1.355</v>
      </c>
      <c r="E5" s="5" t="n">
        <f aca="false">AVERAGEIFS(Per_library!$H$5:$H$28,Per_library!$D$5:$D$28,A5,Per_library!$T$5:$T$28,"&lt;&gt;Exclude")</f>
        <v>1060799.16666667</v>
      </c>
      <c r="F5" s="6" t="n">
        <f aca="false">AVERAGEIFS(Per_library!$G$5:$G$28,Per_library!$D$5:$D$28,A5,Per_library!$T$5:$T$28,"&lt;&gt;Exclude")</f>
        <v>79.5666666666667</v>
      </c>
      <c r="G5" s="4" t="n">
        <f aca="false">COUNTIFS(Per_library!$D$5:$D$28,A5,Per_library!$T$5:$T$28,"Exclude")</f>
        <v>0</v>
      </c>
      <c r="H5" s="4" t="s">
        <v>91</v>
      </c>
      <c r="I5" s="6" t="n">
        <f aca="false">AVERAGEIFS(Per_library!$Q$5:$Q$28,Per_library!$D$5:$D$28,A5,Per_library!$T$5:$T$28,"&lt;&gt;Exclude")</f>
        <v>23.5666666666667</v>
      </c>
      <c r="J5" s="6" t="n">
        <f aca="false">AVERAGEIFS(Per_library!$R$5:$R$28,Per_library!$D$5:$D$28,A5,Per_library!$T$5:$T$28,"&lt;&gt;Exclude")</f>
        <v>12.2333333333333</v>
      </c>
      <c r="K5" s="6" t="n">
        <f aca="false">AVERAGEIFS(Per_library!$S$5:$S$28,Per_library!$D$5:$D$28,A5,Per_library!$T$5:$T$28,"&lt;&gt;Exclude")</f>
        <v>56.5</v>
      </c>
    </row>
    <row r="6" customFormat="false" ht="15" hidden="false" customHeight="false" outlineLevel="0" collapsed="false">
      <c r="A6" s="13" t="s">
        <v>47</v>
      </c>
      <c r="B6" s="4" t="n">
        <f aca="false">COUNTIFS(Per_library!$D$5:$D$28,A6,Per_library!$T$5:$T$28,"&lt;&gt;Exclude")</f>
        <v>4</v>
      </c>
      <c r="C6" s="8" t="n">
        <f aca="false">AVERAGEIFS(Per_library!$J$5:$J$28,Per_library!$D$5:$D$28,A6,Per_library!$T$5:$T$28,"&lt;&gt;Exclude")</f>
        <v>4.095</v>
      </c>
      <c r="D6" s="8" t="n">
        <f aca="false">AVERAGEIFS(Per_library!$M$5:$M$28,Per_library!$D$5:$D$28,A6,Per_library!$T$5:$T$28,"&lt;&gt;Exclude")</f>
        <v>1.0375</v>
      </c>
      <c r="E6" s="5" t="n">
        <f aca="false">AVERAGEIFS(Per_library!$H$5:$H$28,Per_library!$D$5:$D$28,A6,Per_library!$T$5:$T$28,"&lt;&gt;Exclude")</f>
        <v>636766</v>
      </c>
      <c r="F6" s="6" t="n">
        <f aca="false">AVERAGEIFS(Per_library!$G$5:$G$28,Per_library!$D$5:$D$28,A6,Per_library!$T$5:$T$28,"&lt;&gt;Exclude")</f>
        <v>74.6</v>
      </c>
      <c r="G6" s="4" t="n">
        <f aca="false">COUNTIFS(Per_library!$D$5:$D$28,A6,Per_library!$T$5:$T$28,"Exclude")</f>
        <v>0</v>
      </c>
      <c r="H6" s="4" t="s">
        <v>92</v>
      </c>
      <c r="I6" s="6" t="n">
        <f aca="false">AVERAGEIFS(Per_library!$Q$5:$Q$28,Per_library!$D$5:$D$28,A6,Per_library!$T$5:$T$28,"&lt;&gt;Exclude")</f>
        <v>14.225</v>
      </c>
      <c r="J6" s="6" t="n">
        <f aca="false">AVERAGEIFS(Per_library!$R$5:$R$28,Per_library!$D$5:$D$28,A6,Per_library!$T$5:$T$28,"&lt;&gt;Exclude")</f>
        <v>14.05</v>
      </c>
      <c r="K6" s="6" t="n">
        <f aca="false">AVERAGEIFS(Per_library!$S$5:$S$28,Per_library!$D$5:$D$28,A6,Per_library!$T$5:$T$28,"&lt;&gt;Exclude")</f>
        <v>54.275</v>
      </c>
    </row>
    <row r="7" customFormat="false" ht="15" hidden="false" customHeight="false" outlineLevel="0" collapsed="false">
      <c r="A7" s="13" t="s">
        <v>30</v>
      </c>
      <c r="B7" s="4" t="n">
        <f aca="false">COUNTIFS(Per_library!$D$5:$D$28,A7,Per_library!$T$5:$T$28,"&lt;&gt;Exclude")</f>
        <v>3</v>
      </c>
      <c r="C7" s="8" t="n">
        <f aca="false">AVERAGEIFS(Per_library!$J$5:$J$28,Per_library!$D$5:$D$28,A7,Per_library!$T$5:$T$28,"&lt;&gt;Exclude")</f>
        <v>1.02333333333333</v>
      </c>
      <c r="D7" s="8" t="n">
        <f aca="false">AVERAGEIFS(Per_library!$M$5:$M$28,Per_library!$D$5:$D$28,A7,Per_library!$T$5:$T$28,"&lt;&gt;Exclude")</f>
        <v>1.97333333333333</v>
      </c>
      <c r="E7" s="5" t="n">
        <f aca="false">AVERAGEIFS(Per_library!$H$5:$H$28,Per_library!$D$5:$D$28,A7,Per_library!$T$5:$T$28,"&lt;&gt;Exclude")</f>
        <v>3856970.33333333</v>
      </c>
      <c r="F7" s="6" t="n">
        <f aca="false">AVERAGEIFS(Per_library!$G$5:$G$28,Per_library!$D$5:$D$28,A7,Per_library!$T$5:$T$28,"&lt;&gt;Exclude")</f>
        <v>65.2</v>
      </c>
      <c r="G7" s="4" t="n">
        <f aca="false">COUNTIFS(Per_library!$D$5:$D$28,A7,Per_library!$T$5:$T$28,"Exclude")</f>
        <v>2</v>
      </c>
      <c r="H7" s="4" t="s">
        <v>93</v>
      </c>
      <c r="I7" s="6" t="n">
        <f aca="false">AVERAGEIFS(Per_library!$Q$5:$Q$28,Per_library!$D$5:$D$28,A7,Per_library!$T$5:$T$28,"&lt;&gt;Exclude")</f>
        <v>12.5666666666667</v>
      </c>
      <c r="J7" s="6" t="n">
        <f aca="false">AVERAGEIFS(Per_library!$R$5:$R$28,Per_library!$D$5:$D$28,A7,Per_library!$T$5:$T$28,"&lt;&gt;Exclude")</f>
        <v>5.33333333333333</v>
      </c>
      <c r="K7" s="6" t="n">
        <f aca="false">AVERAGEIFS(Per_library!$S$5:$S$28,Per_library!$D$5:$D$28,A7,Per_library!$T$5:$T$28,"&lt;&gt;Exclude")</f>
        <v>62.4</v>
      </c>
    </row>
    <row r="8" customFormat="false" ht="15" hidden="false" customHeight="false" outlineLevel="0" collapsed="false">
      <c r="A8" s="13" t="s">
        <v>34</v>
      </c>
      <c r="B8" s="4" t="n">
        <f aca="false">COUNTIFS(Per_library!$D$5:$D$28,A8,Per_library!$T$5:$T$28,"&lt;&gt;Exclude")</f>
        <v>4</v>
      </c>
      <c r="C8" s="8" t="n">
        <f aca="false">AVERAGEIFS(Per_library!$J$5:$J$28,Per_library!$D$5:$D$28,A8,Per_library!$T$5:$T$28,"&lt;&gt;Exclude")</f>
        <v>1.39</v>
      </c>
      <c r="D8" s="8" t="n">
        <f aca="false">AVERAGEIFS(Per_library!$M$5:$M$28,Per_library!$D$5:$D$28,A8,Per_library!$T$5:$T$28,"&lt;&gt;Exclude")</f>
        <v>0.99</v>
      </c>
      <c r="E8" s="5" t="n">
        <f aca="false">AVERAGEIFS(Per_library!$H$5:$H$28,Per_library!$D$5:$D$28,A8,Per_library!$T$5:$T$28,"&lt;&gt;Exclude")</f>
        <v>924642</v>
      </c>
      <c r="F8" s="6" t="n">
        <f aca="false">AVERAGEIFS(Per_library!$G$5:$G$28,Per_library!$D$5:$D$28,A8,Per_library!$T$5:$T$28,"&lt;&gt;Exclude")</f>
        <v>73</v>
      </c>
      <c r="G8" s="4" t="n">
        <f aca="false">COUNTIFS(Per_library!$D$5:$D$28,A8,Per_library!$T$5:$T$28,"Exclude")</f>
        <v>1</v>
      </c>
      <c r="H8" s="4" t="s">
        <v>94</v>
      </c>
      <c r="I8" s="6" t="n">
        <f aca="false">AVERAGEIFS(Per_library!$Q$5:$Q$28,Per_library!$D$5:$D$28,A8,Per_library!$T$5:$T$28,"&lt;&gt;Exclude")</f>
        <v>4.325</v>
      </c>
      <c r="J8" s="6" t="n">
        <f aca="false">AVERAGEIFS(Per_library!$R$5:$R$28,Per_library!$D$5:$D$28,A8,Per_library!$T$5:$T$28,"&lt;&gt;Exclude")</f>
        <v>2.8</v>
      </c>
      <c r="K8" s="6" t="n">
        <f aca="false">AVERAGEIFS(Per_library!$S$5:$S$28,Per_library!$D$5:$D$28,A8,Per_library!$T$5:$T$28,"&lt;&gt;Exclude")</f>
        <v>49.275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4" min="3" style="0" width="11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60"/>
  </cols>
  <sheetData>
    <row r="1" customFormat="false" ht="16.15" hidden="false" customHeight="false" outlineLevel="0" collapsed="false">
      <c r="A1" s="1" t="s">
        <v>95</v>
      </c>
    </row>
    <row r="3" customFormat="false" ht="39.55" hidden="false" customHeight="false" outlineLevel="0" collapsed="false">
      <c r="A3" s="12" t="s">
        <v>96</v>
      </c>
      <c r="B3" s="12" t="s">
        <v>97</v>
      </c>
      <c r="C3" s="12" t="s">
        <v>98</v>
      </c>
      <c r="D3" s="12" t="s">
        <v>84</v>
      </c>
      <c r="E3" s="12" t="s">
        <v>83</v>
      </c>
      <c r="F3" s="12" t="s">
        <v>99</v>
      </c>
      <c r="G3" s="12" t="s">
        <v>100</v>
      </c>
    </row>
    <row r="4" customFormat="false" ht="15" hidden="false" customHeight="false" outlineLevel="0" collapsed="false">
      <c r="A4" s="13" t="s">
        <v>101</v>
      </c>
      <c r="B4" s="4" t="n">
        <f aca="false">COUNTA(Per_library!A5:A10)</f>
        <v>6</v>
      </c>
      <c r="C4" s="6" t="n">
        <f aca="false">AVERAGE(Per_library!F5:F10)</f>
        <v>33.8266666666667</v>
      </c>
      <c r="D4" s="6" t="n">
        <f aca="false">AVERAGE(Per_library!G5:G10)</f>
        <v>79.5333333333333</v>
      </c>
      <c r="E4" s="5" t="n">
        <f aca="false">AVERAGE(Per_library!H5:H10)</f>
        <v>943867.166666667</v>
      </c>
      <c r="F4" s="7" t="n">
        <f aca="false">AVERAGE(Per_library!I5:I10)</f>
        <v>0.0118333333333333</v>
      </c>
      <c r="G4" s="4" t="s">
        <v>102</v>
      </c>
    </row>
    <row r="5" customFormat="false" ht="15" hidden="false" customHeight="false" outlineLevel="0" collapsed="false">
      <c r="A5" s="13" t="s">
        <v>103</v>
      </c>
      <c r="B5" s="4" t="n">
        <f aca="false">COUNTA(Per_library!A11:A18)</f>
        <v>8</v>
      </c>
      <c r="C5" s="6" t="n">
        <f aca="false">AVERAGE(Per_library!F11:F18)</f>
        <v>80.2125</v>
      </c>
      <c r="D5" s="6" t="n">
        <f aca="false">AVERAGE(Per_library!G11:G18)</f>
        <v>73.45</v>
      </c>
      <c r="E5" s="5" t="n">
        <f aca="false">AVERAGE(Per_library!H11:H18)</f>
        <v>1372172.625</v>
      </c>
      <c r="F5" s="7" t="n">
        <f aca="false">AVERAGE(Per_library!I11:I18)</f>
        <v>0.017375</v>
      </c>
      <c r="G5" s="4" t="s">
        <v>104</v>
      </c>
    </row>
    <row r="6" customFormat="false" ht="15" hidden="false" customHeight="false" outlineLevel="0" collapsed="false">
      <c r="A6" s="13" t="s">
        <v>105</v>
      </c>
      <c r="B6" s="4" t="n">
        <f aca="false">COUNTA(Per_library!A19:A28)</f>
        <v>10</v>
      </c>
      <c r="C6" s="6" t="n">
        <f aca="false">AVERAGE(Per_library!F19:F28)</f>
        <v>63.825</v>
      </c>
      <c r="D6" s="6" t="n">
        <f aca="false">AVERAGE(Per_library!G19:G28)</f>
        <v>72.48</v>
      </c>
      <c r="E6" s="5" t="n">
        <f aca="false">AVERAGE(Per_library!H19:H28)</f>
        <v>1300576.7</v>
      </c>
      <c r="F6" s="7" t="n">
        <f aca="false">AVERAGE(Per_library!I19:I28)</f>
        <v>0.0915</v>
      </c>
      <c r="G6" s="4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10"/>
  </cols>
  <sheetData>
    <row r="1" customFormat="false" ht="16.15" hidden="false" customHeight="false" outlineLevel="0" collapsed="false">
      <c r="A1" s="1" t="s">
        <v>107</v>
      </c>
    </row>
    <row r="2" customFormat="false" ht="15" hidden="false" customHeight="false" outlineLevel="0" collapsed="false">
      <c r="A2" s="2" t="s">
        <v>108</v>
      </c>
    </row>
    <row r="4" customFormat="false" ht="15" hidden="false" customHeight="false" outlineLevel="0" collapsed="false">
      <c r="A4" s="14" t="s">
        <v>5</v>
      </c>
      <c r="B4" s="14" t="s">
        <v>109</v>
      </c>
      <c r="C4" s="14" t="s">
        <v>110</v>
      </c>
      <c r="D4" s="14" t="s">
        <v>111</v>
      </c>
      <c r="E4" s="14" t="s">
        <v>18</v>
      </c>
      <c r="F4" s="14" t="s">
        <v>112</v>
      </c>
    </row>
    <row r="5" customFormat="false" ht="15" hidden="false" customHeight="false" outlineLevel="0" collapsed="false">
      <c r="A5" s="4" t="s">
        <v>44</v>
      </c>
      <c r="B5" s="4" t="s">
        <v>113</v>
      </c>
      <c r="C5" s="4" t="s">
        <v>114</v>
      </c>
      <c r="D5" s="4" t="n">
        <v>1.9</v>
      </c>
      <c r="E5" s="4" t="n">
        <v>56.6</v>
      </c>
      <c r="F5" s="5" t="n">
        <v>13646</v>
      </c>
    </row>
    <row r="6" customFormat="false" ht="15" hidden="false" customHeight="false" outlineLevel="0" collapsed="false">
      <c r="A6" s="4" t="s">
        <v>44</v>
      </c>
      <c r="B6" s="4" t="s">
        <v>113</v>
      </c>
      <c r="C6" s="4" t="s">
        <v>115</v>
      </c>
      <c r="D6" s="4" t="n">
        <v>3.6</v>
      </c>
      <c r="E6" s="4" t="n">
        <v>61.6</v>
      </c>
      <c r="F6" s="5" t="n">
        <v>35295</v>
      </c>
    </row>
    <row r="7" customFormat="false" ht="15" hidden="false" customHeight="false" outlineLevel="0" collapsed="false">
      <c r="A7" s="4" t="s">
        <v>44</v>
      </c>
      <c r="B7" s="4" t="s">
        <v>113</v>
      </c>
      <c r="C7" s="4" t="s">
        <v>116</v>
      </c>
      <c r="D7" s="4" t="n">
        <v>3.1</v>
      </c>
      <c r="E7" s="4" t="n">
        <v>63.9</v>
      </c>
      <c r="F7" s="5" t="n">
        <v>20603</v>
      </c>
    </row>
    <row r="8" customFormat="false" ht="15" hidden="false" customHeight="false" outlineLevel="0" collapsed="false">
      <c r="A8" s="4" t="s">
        <v>44</v>
      </c>
      <c r="B8" s="4" t="s">
        <v>113</v>
      </c>
      <c r="C8" s="4" t="s">
        <v>117</v>
      </c>
      <c r="D8" s="4" t="n">
        <v>4.7</v>
      </c>
      <c r="E8" s="4" t="n">
        <v>72.5</v>
      </c>
      <c r="F8" s="5" t="n">
        <v>30292</v>
      </c>
    </row>
    <row r="9" customFormat="false" ht="15" hidden="false" customHeight="false" outlineLevel="0" collapsed="false">
      <c r="A9" s="4" t="s">
        <v>44</v>
      </c>
      <c r="B9" s="4" t="s">
        <v>113</v>
      </c>
      <c r="C9" s="4" t="s">
        <v>118</v>
      </c>
      <c r="D9" s="4" t="n">
        <v>4.5</v>
      </c>
      <c r="E9" s="4" t="n">
        <v>71.1</v>
      </c>
      <c r="F9" s="5" t="n">
        <v>33706</v>
      </c>
    </row>
    <row r="10" customFormat="false" ht="15" hidden="false" customHeight="false" outlineLevel="0" collapsed="false">
      <c r="A10" s="4" t="s">
        <v>44</v>
      </c>
      <c r="B10" s="4" t="s">
        <v>113</v>
      </c>
      <c r="C10" s="4" t="s">
        <v>119</v>
      </c>
      <c r="D10" s="4" t="n">
        <v>4.2</v>
      </c>
      <c r="E10" s="4" t="n">
        <v>72</v>
      </c>
      <c r="F10" s="5" t="n">
        <v>29975</v>
      </c>
    </row>
    <row r="11" customFormat="false" ht="15" hidden="false" customHeight="false" outlineLevel="0" collapsed="false">
      <c r="A11" s="4" t="s">
        <v>44</v>
      </c>
      <c r="B11" s="4" t="s">
        <v>120</v>
      </c>
      <c r="C11" s="4" t="s">
        <v>114</v>
      </c>
      <c r="D11" s="4" t="n">
        <v>0.2</v>
      </c>
      <c r="E11" s="4" t="n">
        <v>16.2</v>
      </c>
      <c r="F11" s="5" t="n">
        <v>5478</v>
      </c>
    </row>
    <row r="12" customFormat="false" ht="15" hidden="false" customHeight="false" outlineLevel="0" collapsed="false">
      <c r="A12" s="4" t="s">
        <v>44</v>
      </c>
      <c r="B12" s="4" t="s">
        <v>120</v>
      </c>
      <c r="C12" s="4" t="s">
        <v>117</v>
      </c>
      <c r="D12" s="4" t="n">
        <v>0.4</v>
      </c>
      <c r="E12" s="4" t="n">
        <v>16.9</v>
      </c>
      <c r="F12" s="5" t="n">
        <v>5082</v>
      </c>
    </row>
    <row r="13" customFormat="false" ht="15" hidden="false" customHeight="false" outlineLevel="0" collapsed="false">
      <c r="A13" s="4" t="s">
        <v>44</v>
      </c>
      <c r="B13" s="4" t="s">
        <v>120</v>
      </c>
      <c r="C13" s="4" t="s">
        <v>119</v>
      </c>
      <c r="D13" s="4" t="n">
        <v>0.5</v>
      </c>
      <c r="E13" s="4" t="n">
        <v>25.7</v>
      </c>
      <c r="F13" s="5" t="n">
        <v>17170</v>
      </c>
    </row>
    <row r="14" customFormat="false" ht="15" hidden="false" customHeight="false" outlineLevel="0" collapsed="false">
      <c r="A14" s="15" t="s">
        <v>44</v>
      </c>
      <c r="B14" s="16" t="s">
        <v>121</v>
      </c>
      <c r="C14" s="15" t="s">
        <v>117</v>
      </c>
      <c r="D14" s="15" t="n">
        <v>3.3</v>
      </c>
      <c r="E14" s="15" t="n">
        <v>32</v>
      </c>
      <c r="F14" s="17" t="n">
        <v>10587</v>
      </c>
    </row>
    <row r="15" customFormat="false" ht="15" hidden="false" customHeight="false" outlineLevel="0" collapsed="false">
      <c r="A15" s="15" t="s">
        <v>44</v>
      </c>
      <c r="B15" s="16" t="s">
        <v>122</v>
      </c>
      <c r="C15" s="15" t="s">
        <v>117</v>
      </c>
      <c r="D15" s="15" t="n">
        <v>2.2</v>
      </c>
      <c r="E15" s="15" t="n">
        <v>49.1</v>
      </c>
      <c r="F15" s="17" t="n">
        <v>18787</v>
      </c>
    </row>
    <row r="16" customFormat="false" ht="15" hidden="false" customHeight="false" outlineLevel="0" collapsed="false">
      <c r="A16" s="15" t="s">
        <v>44</v>
      </c>
      <c r="B16" s="16" t="s">
        <v>123</v>
      </c>
      <c r="C16" s="15" t="s">
        <v>117</v>
      </c>
      <c r="D16" s="15" t="n">
        <v>0.9</v>
      </c>
      <c r="E16" s="15" t="n">
        <v>36.3</v>
      </c>
      <c r="F16" s="17" t="n">
        <v>13356</v>
      </c>
    </row>
    <row r="17" customFormat="false" ht="15" hidden="false" customHeight="false" outlineLevel="0" collapsed="false">
      <c r="A17" s="15" t="s">
        <v>44</v>
      </c>
      <c r="B17" s="16" t="s">
        <v>124</v>
      </c>
      <c r="C17" s="15" t="s">
        <v>117</v>
      </c>
      <c r="D17" s="15" t="n">
        <v>2.3</v>
      </c>
      <c r="E17" s="15" t="n">
        <v>40.8</v>
      </c>
      <c r="F17" s="17" t="n">
        <v>22058</v>
      </c>
    </row>
    <row r="18" customFormat="false" ht="15" hidden="false" customHeight="false" outlineLevel="0" collapsed="false">
      <c r="A18" s="4" t="s">
        <v>26</v>
      </c>
      <c r="B18" s="4" t="s">
        <v>113</v>
      </c>
      <c r="C18" s="4" t="s">
        <v>114</v>
      </c>
      <c r="D18" s="4" t="n">
        <v>2.2</v>
      </c>
      <c r="E18" s="4" t="n">
        <v>50.7</v>
      </c>
      <c r="F18" s="5" t="n">
        <v>16243</v>
      </c>
    </row>
    <row r="19" customFormat="false" ht="15" hidden="false" customHeight="false" outlineLevel="0" collapsed="false">
      <c r="A19" s="4" t="s">
        <v>26</v>
      </c>
      <c r="B19" s="4" t="s">
        <v>113</v>
      </c>
      <c r="C19" s="4" t="s">
        <v>115</v>
      </c>
      <c r="D19" s="4" t="n">
        <v>2.8</v>
      </c>
      <c r="E19" s="4" t="n">
        <v>52.8</v>
      </c>
      <c r="F19" s="5" t="n">
        <v>21460</v>
      </c>
    </row>
    <row r="20" customFormat="false" ht="15" hidden="false" customHeight="false" outlineLevel="0" collapsed="false">
      <c r="A20" s="4" t="s">
        <v>26</v>
      </c>
      <c r="B20" s="4" t="s">
        <v>113</v>
      </c>
      <c r="C20" s="4" t="s">
        <v>116</v>
      </c>
      <c r="D20" s="4" t="n">
        <v>3.3</v>
      </c>
      <c r="E20" s="4" t="n">
        <v>57.9</v>
      </c>
      <c r="F20" s="5" t="n">
        <v>23642</v>
      </c>
    </row>
    <row r="21" customFormat="false" ht="15" hidden="false" customHeight="false" outlineLevel="0" collapsed="false">
      <c r="A21" s="4" t="s">
        <v>26</v>
      </c>
      <c r="B21" s="4" t="s">
        <v>113</v>
      </c>
      <c r="C21" s="4" t="s">
        <v>117</v>
      </c>
      <c r="D21" s="4" t="n">
        <v>4.7</v>
      </c>
      <c r="E21" s="4" t="n">
        <v>69.3</v>
      </c>
      <c r="F21" s="5" t="n">
        <v>32289</v>
      </c>
    </row>
    <row r="22" customFormat="false" ht="15" hidden="false" customHeight="false" outlineLevel="0" collapsed="false">
      <c r="A22" s="4" t="s">
        <v>26</v>
      </c>
      <c r="B22" s="4" t="s">
        <v>113</v>
      </c>
      <c r="C22" s="4" t="s">
        <v>118</v>
      </c>
      <c r="D22" s="4" t="n">
        <v>9.1</v>
      </c>
      <c r="E22" s="4" t="n">
        <v>68.9</v>
      </c>
      <c r="F22" s="5" t="n">
        <v>32907</v>
      </c>
    </row>
    <row r="23" customFormat="false" ht="15" hidden="false" customHeight="false" outlineLevel="0" collapsed="false">
      <c r="A23" s="4" t="s">
        <v>26</v>
      </c>
      <c r="B23" s="4" t="s">
        <v>113</v>
      </c>
      <c r="C23" s="4" t="s">
        <v>119</v>
      </c>
      <c r="D23" s="4" t="n">
        <v>10.7</v>
      </c>
      <c r="E23" s="4" t="n">
        <v>73.5</v>
      </c>
      <c r="F23" s="5" t="n">
        <v>45296</v>
      </c>
    </row>
    <row r="24" customFormat="false" ht="15" hidden="false" customHeight="false" outlineLevel="0" collapsed="false">
      <c r="A24" s="4" t="s">
        <v>26</v>
      </c>
      <c r="B24" s="4" t="s">
        <v>120</v>
      </c>
      <c r="C24" s="4" t="s">
        <v>114</v>
      </c>
      <c r="D24" s="4" t="n">
        <v>0.1</v>
      </c>
      <c r="E24" s="4" t="n">
        <v>16.9</v>
      </c>
      <c r="F24" s="5" t="n">
        <v>10551</v>
      </c>
    </row>
    <row r="25" customFormat="false" ht="15" hidden="false" customHeight="false" outlineLevel="0" collapsed="false">
      <c r="A25" s="4" t="s">
        <v>26</v>
      </c>
      <c r="B25" s="4" t="s">
        <v>120</v>
      </c>
      <c r="C25" s="4" t="s">
        <v>117</v>
      </c>
      <c r="D25" s="4" t="n">
        <v>0.1</v>
      </c>
      <c r="E25" s="4" t="n">
        <v>21.8</v>
      </c>
      <c r="F25" s="5" t="n">
        <v>8763</v>
      </c>
    </row>
    <row r="26" customFormat="false" ht="15" hidden="false" customHeight="false" outlineLevel="0" collapsed="false">
      <c r="A26" s="4" t="s">
        <v>26</v>
      </c>
      <c r="B26" s="4" t="s">
        <v>120</v>
      </c>
      <c r="C26" s="4" t="s">
        <v>119</v>
      </c>
      <c r="D26" s="4" t="n">
        <v>0.5</v>
      </c>
      <c r="E26" s="4" t="n">
        <v>25.7</v>
      </c>
      <c r="F26" s="5" t="n">
        <v>20531</v>
      </c>
    </row>
    <row r="27" customFormat="false" ht="15" hidden="false" customHeight="false" outlineLevel="0" collapsed="false">
      <c r="A27" s="15" t="s">
        <v>26</v>
      </c>
      <c r="B27" s="16" t="s">
        <v>125</v>
      </c>
      <c r="C27" s="15" t="s">
        <v>117</v>
      </c>
      <c r="D27" s="15" t="n">
        <v>3.2</v>
      </c>
      <c r="E27" s="15" t="n">
        <v>42.7</v>
      </c>
      <c r="F27" s="17" t="n">
        <v>60132</v>
      </c>
    </row>
    <row r="28" customFormat="false" ht="15" hidden="false" customHeight="false" outlineLevel="0" collapsed="false">
      <c r="A28" s="15" t="s">
        <v>26</v>
      </c>
      <c r="B28" s="16" t="s">
        <v>126</v>
      </c>
      <c r="C28" s="15" t="s">
        <v>117</v>
      </c>
      <c r="D28" s="15" t="n">
        <v>2.1</v>
      </c>
      <c r="E28" s="15" t="n">
        <v>27.9</v>
      </c>
      <c r="F28" s="17" t="n">
        <v>40608</v>
      </c>
    </row>
    <row r="29" customFormat="false" ht="15" hidden="false" customHeight="false" outlineLevel="0" collapsed="false">
      <c r="A29" s="15" t="s">
        <v>26</v>
      </c>
      <c r="B29" s="16" t="s">
        <v>127</v>
      </c>
      <c r="C29" s="15" t="s">
        <v>117</v>
      </c>
      <c r="D29" s="15" t="n">
        <v>1.4</v>
      </c>
      <c r="E29" s="15" t="n">
        <v>15.3</v>
      </c>
      <c r="F29" s="17" t="n">
        <v>17285</v>
      </c>
    </row>
    <row r="30" customFormat="false" ht="15" hidden="false" customHeight="false" outlineLevel="0" collapsed="false">
      <c r="A30" s="15" t="s">
        <v>26</v>
      </c>
      <c r="B30" s="16" t="s">
        <v>128</v>
      </c>
      <c r="C30" s="15" t="s">
        <v>117</v>
      </c>
      <c r="D30" s="15" t="n">
        <v>3.1</v>
      </c>
      <c r="E30" s="15" t="n">
        <v>19.7</v>
      </c>
      <c r="F30" s="17" t="n">
        <v>51942</v>
      </c>
    </row>
    <row r="31" customFormat="false" ht="15" hidden="false" customHeight="false" outlineLevel="0" collapsed="false">
      <c r="A31" s="15" t="s">
        <v>26</v>
      </c>
      <c r="B31" s="16" t="s">
        <v>129</v>
      </c>
      <c r="C31" s="15" t="s">
        <v>117</v>
      </c>
      <c r="D31" s="15" t="n">
        <v>0.8</v>
      </c>
      <c r="E31" s="15" t="n">
        <v>7.6</v>
      </c>
      <c r="F31" s="17" t="n">
        <v>7834</v>
      </c>
    </row>
    <row r="32" customFormat="false" ht="15" hidden="false" customHeight="false" outlineLevel="0" collapsed="false">
      <c r="A32" s="15" t="s">
        <v>26</v>
      </c>
      <c r="B32" s="16" t="s">
        <v>130</v>
      </c>
      <c r="C32" s="15" t="s">
        <v>117</v>
      </c>
      <c r="D32" s="15" t="n">
        <v>2.1</v>
      </c>
      <c r="E32" s="15" t="n">
        <v>28.2</v>
      </c>
      <c r="F32" s="17" t="n">
        <v>587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2026-10-29T12:27:23Z</dcterms:created>
  <dc:creator>openpyxl</dc:creator>
  <dc:description/>
  <dc:language>en-US</dc:language>
  <cp:lastModifiedBy/>
  <dcterms:modified xsi:type="dcterms:W3CDTF">2026-10-29T12:27:23Z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